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érios" sheetId="1" state="visible" r:id="rId1"/>
    <sheet xmlns:r="http://schemas.openxmlformats.org/officeDocument/2006/relationships" name="Calendário" sheetId="2" state="visible" r:id="rId2"/>
    <sheet xmlns:r="http://schemas.openxmlformats.org/officeDocument/2006/relationships" name="UCs_LEIC_S1" sheetId="3" state="visible" r:id="rId3"/>
    <sheet xmlns:r="http://schemas.openxmlformats.org/officeDocument/2006/relationships" name="Inscritos_LEIC_S1" sheetId="4" state="visible" r:id="rId4"/>
    <sheet xmlns:r="http://schemas.openxmlformats.org/officeDocument/2006/relationships" name="UCs_LEIC_S2" sheetId="5" state="visible" r:id="rId5"/>
    <sheet xmlns:r="http://schemas.openxmlformats.org/officeDocument/2006/relationships" name="Inscritos_LEIC_S2" sheetId="6" state="visible" r:id="rId6"/>
    <sheet xmlns:r="http://schemas.openxmlformats.org/officeDocument/2006/relationships" name="UCs_MEIC_S1" sheetId="7" state="visible" r:id="rId7"/>
    <sheet xmlns:r="http://schemas.openxmlformats.org/officeDocument/2006/relationships" name="Inscritos_MEIC_S1" sheetId="8" state="visible" r:id="rId8"/>
    <sheet xmlns:r="http://schemas.openxmlformats.org/officeDocument/2006/relationships" name="UCs_MEIC_S2" sheetId="9" state="visible" r:id="rId9"/>
    <sheet xmlns:r="http://schemas.openxmlformats.org/officeDocument/2006/relationships" name="Inscritos_MEIC_S2" sheetId="10" state="visible" r:id="rId10"/>
    <sheet xmlns:r="http://schemas.openxmlformats.org/officeDocument/2006/relationships" name="UCs_MESW_S1" sheetId="11" state="visible" r:id="rId11"/>
    <sheet xmlns:r="http://schemas.openxmlformats.org/officeDocument/2006/relationships" name="Inscritos_MESW_S1" sheetId="12" state="visible" r:id="rId12"/>
    <sheet xmlns:r="http://schemas.openxmlformats.org/officeDocument/2006/relationships" name="UCs_MESW_S2" sheetId="13" state="visible" r:id="rId13"/>
    <sheet xmlns:r="http://schemas.openxmlformats.org/officeDocument/2006/relationships" name="Inscritos_MESW_S2" sheetId="14" state="visible" r:id="rId14"/>
    <sheet xmlns:r="http://schemas.openxmlformats.org/officeDocument/2006/relationships" name="UCs_MIA_S1" sheetId="15" state="visible" r:id="rId15"/>
    <sheet xmlns:r="http://schemas.openxmlformats.org/officeDocument/2006/relationships" name="Inscritos_MIA_S1" sheetId="16" state="visible" r:id="rId16"/>
    <sheet xmlns:r="http://schemas.openxmlformats.org/officeDocument/2006/relationships" name="UCs_MIA_S2" sheetId="17" state="visible" r:id="rId17"/>
    <sheet xmlns:r="http://schemas.openxmlformats.org/officeDocument/2006/relationships" name="Inscritos_MIA_S2" sheetId="18" state="visible" r:id="rId18"/>
    <sheet xmlns:r="http://schemas.openxmlformats.org/officeDocument/2006/relationships" name="UCs_MM_S1" sheetId="19" state="visible" r:id="rId19"/>
    <sheet xmlns:r="http://schemas.openxmlformats.org/officeDocument/2006/relationships" name="Inscritos_MM_S1" sheetId="20" state="visible" r:id="rId20"/>
    <sheet xmlns:r="http://schemas.openxmlformats.org/officeDocument/2006/relationships" name="UCs_MM_S2" sheetId="21" state="visible" r:id="rId21"/>
    <sheet xmlns:r="http://schemas.openxmlformats.org/officeDocument/2006/relationships" name="Inscritos_MM_S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&quot;/&quot;mm&quot;/&quot;yyyy"/>
    <numFmt numFmtId="166" formatCode="m/d"/>
    <numFmt numFmtId="167" formatCode="DD/MM/YYYY"/>
  </numFmts>
  <fonts count="8">
    <font>
      <name val="Calibri"/>
      <family val="2"/>
      <color theme="1"/>
      <sz val="11"/>
      <scheme val="minor"/>
    </font>
    <font>
      <name val="Arial"/>
      <color theme="1"/>
      <sz val="11"/>
    </font>
    <font>
      <name val="Arial"/>
      <color rgb="FF000000"/>
      <sz val="10"/>
    </font>
    <font>
      <name val="Arial"/>
      <b val="1"/>
      <color rgb="FFFFFFFF"/>
      <sz val="10"/>
    </font>
    <font>
      <name val="Arial"/>
      <i val="1"/>
      <color rgb="FF777777"/>
      <sz val="8"/>
    </font>
    <font>
      <name val="Arial"/>
      <b val="1"/>
      <color theme="1"/>
      <sz val="10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004472C4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/>
    <border>
      <right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65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3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6" fontId="5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0" pivotButton="0" quotePrefix="0" xfId="0"/>
    <xf numFmtId="167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2.63" customWidth="1" min="1" max="1"/>
    <col width="22.5" customWidth="1" min="3" max="3"/>
    <col width="12.63" customWidth="1" min="4" max="4"/>
  </cols>
  <sheetData>
    <row r="1" ht="15.75" customHeight="1">
      <c r="A1" s="1" t="inlineStr">
        <is>
          <t>Curso</t>
        </is>
      </c>
      <c r="B1" s="2" t="inlineStr">
        <is>
          <t>Semestre</t>
        </is>
      </c>
      <c r="C1" s="2" t="inlineStr">
        <is>
          <t>Espaçamento desejado</t>
        </is>
      </c>
      <c r="D1" s="2" t="inlineStr">
        <is>
          <t>Tipo de Época</t>
        </is>
      </c>
      <c r="E1" s="2" t="inlineStr">
        <is>
          <t>Inicio</t>
        </is>
      </c>
      <c r="F1" s="2" t="inlineStr">
        <is>
          <t>Fim</t>
        </is>
      </c>
      <c r="G1" s="2" t="n"/>
    </row>
    <row r="2" ht="15.75" customHeight="1">
      <c r="A2" s="2" t="inlineStr">
        <is>
          <t>MEIC</t>
        </is>
      </c>
      <c r="B2" s="2" t="inlineStr">
        <is>
          <t>2S</t>
        </is>
      </c>
      <c r="C2" s="3" t="n">
        <v>2</v>
      </c>
      <c r="D2" s="2" t="inlineStr">
        <is>
          <t>Normal</t>
        </is>
      </c>
      <c r="E2" s="4" t="n">
        <v>46195</v>
      </c>
      <c r="F2" s="4" t="n">
        <v>46234</v>
      </c>
    </row>
    <row r="3" ht="15.75" customHeight="1">
      <c r="C3" s="3" t="n"/>
    </row>
    <row r="4" ht="15.75" customHeight="1">
      <c r="A4" s="2" t="n"/>
      <c r="B4" s="5" t="n"/>
    </row>
    <row r="5" ht="15.75" customHeight="1">
      <c r="C5" s="3" t="n"/>
    </row>
    <row r="6" ht="15.75" customHeight="1">
      <c r="C6" s="3" t="n"/>
    </row>
    <row r="7" ht="15.75" customHeight="1">
      <c r="C7" s="3" t="n"/>
    </row>
    <row r="8" ht="15.75" customHeight="1">
      <c r="C8" s="3" t="n"/>
    </row>
    <row r="9" ht="15.75" customHeight="1">
      <c r="C9" s="3" t="n"/>
    </row>
    <row r="10" ht="15.75" customHeight="1">
      <c r="C10" s="3" t="n"/>
    </row>
    <row r="11" ht="15.75" customHeight="1">
      <c r="C11" s="3" t="n"/>
    </row>
    <row r="12" ht="15.75" customHeight="1">
      <c r="C12" s="3" t="n"/>
    </row>
    <row r="13" ht="15.75" customHeight="1">
      <c r="C13" s="3" t="n"/>
    </row>
    <row r="14" ht="15.75" customHeight="1">
      <c r="C14" s="3" t="n"/>
    </row>
    <row r="15" ht="15.75" customHeight="1">
      <c r="C15" s="3" t="n"/>
    </row>
    <row r="16" ht="15.75" customHeight="1">
      <c r="C16" s="3" t="n"/>
    </row>
    <row r="17" ht="15.75" customHeight="1">
      <c r="C17" s="3" t="n"/>
    </row>
    <row r="18" ht="15.75" customHeight="1">
      <c r="C18" s="3" t="n"/>
    </row>
    <row r="19" ht="15.75" customHeight="1">
      <c r="C19" s="3" t="n"/>
    </row>
    <row r="20" ht="15.75" customHeight="1">
      <c r="C20" s="3" t="n"/>
    </row>
    <row r="21" ht="15.75" customHeight="1">
      <c r="C21" s="3" t="n"/>
    </row>
    <row r="22" ht="15.75" customHeight="1">
      <c r="C22" s="3" t="n"/>
    </row>
    <row r="23" ht="15.75" customHeight="1">
      <c r="C23" s="3" t="n"/>
    </row>
    <row r="24" ht="15.75" customHeight="1">
      <c r="C24" s="3" t="n"/>
    </row>
    <row r="25" ht="15.75" customHeight="1">
      <c r="C25" s="3" t="n"/>
    </row>
    <row r="26" ht="15.75" customHeight="1">
      <c r="C26" s="3" t="n"/>
    </row>
    <row r="27" ht="15.75" customHeight="1">
      <c r="C27" s="3" t="n"/>
    </row>
    <row r="28" ht="15.75" customHeight="1">
      <c r="C28" s="3" t="n"/>
    </row>
    <row r="29" ht="15.75" customHeight="1">
      <c r="C29" s="3" t="n"/>
    </row>
    <row r="30" ht="15.75" customHeight="1">
      <c r="C30" s="3" t="n"/>
    </row>
    <row r="31" ht="15.75" customHeight="1">
      <c r="C31" s="3" t="n"/>
    </row>
    <row r="32" ht="15.75" customHeight="1">
      <c r="C32" s="3" t="n"/>
    </row>
    <row r="33" ht="15.75" customHeight="1">
      <c r="C33" s="3" t="n"/>
    </row>
    <row r="34" ht="15.75" customHeight="1">
      <c r="C34" s="3" t="n"/>
    </row>
    <row r="35" ht="15.75" customHeight="1">
      <c r="C35" s="3" t="n"/>
    </row>
    <row r="36" ht="15.75" customHeight="1">
      <c r="C36" s="3" t="n"/>
    </row>
    <row r="37" ht="15.75" customHeight="1">
      <c r="C37" s="3" t="n"/>
    </row>
    <row r="38" ht="15.75" customHeight="1">
      <c r="C38" s="3" t="n"/>
    </row>
    <row r="39" ht="15.75" customHeight="1">
      <c r="C39" s="3" t="n"/>
    </row>
    <row r="40" ht="15.75" customHeight="1">
      <c r="C40" s="3" t="n"/>
    </row>
    <row r="41" ht="15.75" customHeight="1">
      <c r="C41" s="3" t="n"/>
    </row>
    <row r="42" ht="15.75" customHeight="1">
      <c r="C42" s="3" t="n"/>
    </row>
    <row r="43" ht="15.75" customHeight="1">
      <c r="C43" s="3" t="n"/>
    </row>
    <row r="44" ht="15.75" customHeight="1">
      <c r="C44" s="3" t="n"/>
    </row>
    <row r="45" ht="15.75" customHeight="1">
      <c r="C45" s="3" t="n"/>
    </row>
    <row r="46" ht="15.75" customHeight="1">
      <c r="C46" s="3" t="n"/>
    </row>
    <row r="47" ht="15.75" customHeight="1">
      <c r="C47" s="3" t="n"/>
    </row>
    <row r="48" ht="15.75" customHeight="1">
      <c r="C48" s="3" t="n"/>
    </row>
    <row r="49" ht="15.75" customHeight="1">
      <c r="C49" s="3" t="n"/>
    </row>
    <row r="50" ht="15.75" customHeight="1">
      <c r="C50" s="3" t="n"/>
    </row>
    <row r="51" ht="15.75" customHeight="1">
      <c r="C51" s="3" t="n"/>
    </row>
    <row r="52" ht="15.75" customHeight="1">
      <c r="C52" s="3" t="n"/>
    </row>
    <row r="53" ht="15.75" customHeight="1">
      <c r="C53" s="3" t="n"/>
    </row>
    <row r="54" ht="15.75" customHeight="1">
      <c r="C54" s="3" t="n"/>
    </row>
    <row r="55" ht="15.75" customHeight="1">
      <c r="C55" s="3" t="n"/>
    </row>
    <row r="56" ht="15.75" customHeight="1">
      <c r="C56" s="3" t="n"/>
    </row>
    <row r="57" ht="15.75" customHeight="1">
      <c r="C57" s="3" t="n"/>
    </row>
    <row r="58" ht="15.75" customHeight="1">
      <c r="C58" s="3" t="n"/>
    </row>
    <row r="59" ht="15.75" customHeight="1">
      <c r="C59" s="3" t="n"/>
    </row>
    <row r="60" ht="15.75" customHeight="1">
      <c r="C60" s="3" t="n"/>
    </row>
    <row r="61" ht="15.75" customHeight="1">
      <c r="C61" s="3" t="n"/>
    </row>
    <row r="62" ht="15.75" customHeight="1">
      <c r="C62" s="3" t="n"/>
    </row>
    <row r="63" ht="15.75" customHeight="1">
      <c r="C63" s="3" t="n"/>
    </row>
    <row r="64" ht="15.75" customHeight="1">
      <c r="C64" s="3" t="n"/>
    </row>
    <row r="65" ht="15.75" customHeight="1">
      <c r="C65" s="3" t="n"/>
    </row>
    <row r="66" ht="15.75" customHeight="1">
      <c r="C66" s="3" t="n"/>
    </row>
    <row r="67" ht="15.75" customHeight="1">
      <c r="C67" s="3" t="n"/>
    </row>
    <row r="68" ht="15.75" customHeight="1">
      <c r="C68" s="3" t="n"/>
    </row>
    <row r="69" ht="15.75" customHeight="1">
      <c r="C69" s="3" t="n"/>
    </row>
    <row r="70" ht="15.75" customHeight="1">
      <c r="C70" s="3" t="n"/>
    </row>
    <row r="71" ht="15.75" customHeight="1">
      <c r="C71" s="3" t="n"/>
    </row>
    <row r="72" ht="15.75" customHeight="1">
      <c r="C72" s="3" t="n"/>
    </row>
    <row r="73" ht="15.75" customHeight="1">
      <c r="C73" s="3" t="n"/>
    </row>
    <row r="74" ht="15.75" customHeight="1">
      <c r="C74" s="3" t="n"/>
    </row>
    <row r="75" ht="15.75" customHeight="1">
      <c r="C75" s="3" t="n"/>
    </row>
    <row r="76" ht="15.75" customHeight="1">
      <c r="C76" s="3" t="n"/>
    </row>
    <row r="77" ht="15.75" customHeight="1">
      <c r="C77" s="3" t="n"/>
    </row>
    <row r="78" ht="15.75" customHeight="1">
      <c r="C78" s="3" t="n"/>
    </row>
    <row r="79" ht="15.75" customHeight="1">
      <c r="C79" s="3" t="n"/>
    </row>
    <row r="80" ht="15.75" customHeight="1">
      <c r="C80" s="3" t="n"/>
    </row>
    <row r="81" ht="15.75" customHeight="1">
      <c r="C81" s="3" t="n"/>
    </row>
    <row r="82" ht="15.75" customHeight="1">
      <c r="C82" s="3" t="n"/>
    </row>
    <row r="83" ht="15.75" customHeight="1">
      <c r="C83" s="3" t="n"/>
    </row>
    <row r="84" ht="15.75" customHeight="1">
      <c r="C84" s="3" t="n"/>
    </row>
    <row r="85" ht="15.75" customHeight="1">
      <c r="C85" s="3" t="n"/>
    </row>
    <row r="86" ht="15.75" customHeight="1">
      <c r="C86" s="3" t="n"/>
    </row>
    <row r="87" ht="15.75" customHeight="1">
      <c r="C87" s="3" t="n"/>
    </row>
    <row r="88" ht="15.75" customHeight="1">
      <c r="C88" s="3" t="n"/>
    </row>
    <row r="89" ht="15.75" customHeight="1">
      <c r="C89" s="3" t="n"/>
    </row>
    <row r="90" ht="15.75" customHeight="1">
      <c r="C90" s="3" t="n"/>
    </row>
    <row r="91" ht="15.75" customHeight="1">
      <c r="C91" s="3" t="n"/>
    </row>
    <row r="92" ht="15.75" customHeight="1">
      <c r="C92" s="3" t="n"/>
    </row>
    <row r="93" ht="15.75" customHeight="1">
      <c r="C93" s="3" t="n"/>
    </row>
    <row r="94" ht="15.75" customHeight="1">
      <c r="C94" s="3" t="n"/>
    </row>
    <row r="95" ht="15.75" customHeight="1">
      <c r="C95" s="3" t="n"/>
    </row>
    <row r="96" ht="15.75" customHeight="1">
      <c r="C96" s="3" t="n"/>
    </row>
    <row r="97" ht="15.75" customHeight="1">
      <c r="C97" s="3" t="n"/>
    </row>
    <row r="98" ht="15.75" customHeight="1">
      <c r="C98" s="3" t="n"/>
    </row>
    <row r="99" ht="15.75" customHeight="1">
      <c r="C99" s="3" t="n"/>
    </row>
    <row r="100" ht="15.75" customHeight="1">
      <c r="C100" s="3" t="n"/>
    </row>
    <row r="101" ht="15.75" customHeight="1">
      <c r="C101" s="3" t="n"/>
    </row>
    <row r="102" ht="15.75" customHeight="1">
      <c r="C102" s="3" t="n"/>
    </row>
    <row r="103" ht="15.75" customHeight="1">
      <c r="C103" s="3" t="n"/>
    </row>
    <row r="104" ht="15.75" customHeight="1">
      <c r="C104" s="3" t="n"/>
    </row>
    <row r="105" ht="15.75" customHeight="1">
      <c r="C105" s="3" t="n"/>
    </row>
    <row r="106" ht="15.75" customHeight="1">
      <c r="C106" s="3" t="n"/>
    </row>
    <row r="107" ht="15.75" customHeight="1">
      <c r="C107" s="3" t="n"/>
    </row>
    <row r="108" ht="15.75" customHeight="1">
      <c r="C108" s="3" t="n"/>
    </row>
    <row r="109" ht="15.75" customHeight="1">
      <c r="C109" s="3" t="n"/>
    </row>
    <row r="110" ht="15.75" customHeight="1">
      <c r="C110" s="3" t="n"/>
    </row>
    <row r="111" ht="15.75" customHeight="1">
      <c r="C111" s="3" t="n"/>
    </row>
    <row r="112" ht="15.75" customHeight="1">
      <c r="C112" s="3" t="n"/>
    </row>
    <row r="113" ht="15.75" customHeight="1">
      <c r="C113" s="3" t="n"/>
    </row>
    <row r="114" ht="15.75" customHeight="1">
      <c r="C114" s="3" t="n"/>
    </row>
    <row r="115" ht="15.75" customHeight="1">
      <c r="C115" s="3" t="n"/>
    </row>
    <row r="116" ht="15.75" customHeight="1">
      <c r="C116" s="3" t="n"/>
    </row>
    <row r="117" ht="15.75" customHeight="1">
      <c r="C117" s="3" t="n"/>
    </row>
    <row r="118" ht="15.75" customHeight="1">
      <c r="C118" s="3" t="n"/>
    </row>
    <row r="119" ht="15.75" customHeight="1">
      <c r="C119" s="3" t="n"/>
    </row>
    <row r="120" ht="15.75" customHeight="1">
      <c r="C120" s="3" t="n"/>
    </row>
    <row r="121" ht="15.75" customHeight="1">
      <c r="C121" s="3" t="n"/>
    </row>
    <row r="122" ht="15.75" customHeight="1">
      <c r="C122" s="3" t="n"/>
    </row>
    <row r="123" ht="15.75" customHeight="1">
      <c r="C123" s="3" t="n"/>
    </row>
    <row r="124" ht="15.75" customHeight="1">
      <c r="C124" s="3" t="n"/>
    </row>
    <row r="125" ht="15.75" customHeight="1">
      <c r="C125" s="3" t="n"/>
    </row>
    <row r="126" ht="15.75" customHeight="1">
      <c r="C126" s="3" t="n"/>
    </row>
    <row r="127" ht="15.75" customHeight="1">
      <c r="C127" s="3" t="n"/>
    </row>
    <row r="128" ht="15.75" customHeight="1">
      <c r="C128" s="3" t="n"/>
    </row>
    <row r="129" ht="15.75" customHeight="1">
      <c r="C129" s="3" t="n"/>
    </row>
    <row r="130" ht="15.75" customHeight="1">
      <c r="C130" s="3" t="n"/>
    </row>
    <row r="131" ht="15.75" customHeight="1">
      <c r="C131" s="3" t="n"/>
    </row>
    <row r="132" ht="15.75" customHeight="1">
      <c r="C132" s="3" t="n"/>
    </row>
    <row r="133" ht="15.75" customHeight="1">
      <c r="C133" s="3" t="n"/>
    </row>
    <row r="134" ht="15.75" customHeight="1">
      <c r="C134" s="3" t="n"/>
    </row>
    <row r="135" ht="15.75" customHeight="1">
      <c r="C135" s="3" t="n"/>
    </row>
    <row r="136" ht="15.75" customHeight="1">
      <c r="C136" s="3" t="n"/>
    </row>
    <row r="137" ht="15.75" customHeight="1">
      <c r="C137" s="3" t="n"/>
    </row>
    <row r="138" ht="15.75" customHeight="1">
      <c r="C138" s="3" t="n"/>
    </row>
    <row r="139" ht="15.75" customHeight="1">
      <c r="C139" s="3" t="n"/>
    </row>
    <row r="140" ht="15.75" customHeight="1">
      <c r="C140" s="3" t="n"/>
    </row>
    <row r="141" ht="15.75" customHeight="1">
      <c r="C141" s="3" t="n"/>
    </row>
    <row r="142" ht="15.75" customHeight="1">
      <c r="C142" s="3" t="n"/>
    </row>
    <row r="143" ht="15.75" customHeight="1">
      <c r="C143" s="3" t="n"/>
    </row>
    <row r="144" ht="15.75" customHeight="1">
      <c r="C144" s="3" t="n"/>
    </row>
    <row r="145" ht="15.75" customHeight="1">
      <c r="C145" s="3" t="n"/>
    </row>
    <row r="146" ht="15.75" customHeight="1">
      <c r="C146" s="3" t="n"/>
    </row>
    <row r="147" ht="15.75" customHeight="1">
      <c r="C147" s="3" t="n"/>
    </row>
    <row r="148" ht="15.75" customHeight="1">
      <c r="C148" s="3" t="n"/>
    </row>
    <row r="149" ht="15.75" customHeight="1">
      <c r="C149" s="3" t="n"/>
    </row>
    <row r="150" ht="15.75" customHeight="1">
      <c r="C150" s="3" t="n"/>
    </row>
    <row r="151" ht="15.75" customHeight="1">
      <c r="C151" s="3" t="n"/>
    </row>
    <row r="152" ht="15.75" customHeight="1">
      <c r="C152" s="3" t="n"/>
    </row>
    <row r="153" ht="15.75" customHeight="1">
      <c r="C153" s="3" t="n"/>
    </row>
    <row r="154" ht="15.75" customHeight="1">
      <c r="C154" s="3" t="n"/>
    </row>
    <row r="155" ht="15.75" customHeight="1">
      <c r="C155" s="3" t="n"/>
    </row>
    <row r="156" ht="15.75" customHeight="1">
      <c r="C156" s="3" t="n"/>
    </row>
    <row r="157" ht="15.75" customHeight="1">
      <c r="C157" s="3" t="n"/>
    </row>
    <row r="158" ht="15.75" customHeight="1">
      <c r="C158" s="3" t="n"/>
    </row>
    <row r="159" ht="15.75" customHeight="1">
      <c r="C159" s="3" t="n"/>
    </row>
    <row r="160" ht="15.75" customHeight="1">
      <c r="C160" s="3" t="n"/>
    </row>
    <row r="161" ht="15.75" customHeight="1">
      <c r="C161" s="3" t="n"/>
    </row>
    <row r="162" ht="15.75" customHeight="1">
      <c r="C162" s="3" t="n"/>
    </row>
    <row r="163" ht="15.75" customHeight="1">
      <c r="C163" s="3" t="n"/>
    </row>
    <row r="164" ht="15.75" customHeight="1">
      <c r="C164" s="3" t="n"/>
    </row>
    <row r="165" ht="15.75" customHeight="1">
      <c r="C165" s="3" t="n"/>
    </row>
    <row r="166" ht="15.75" customHeight="1">
      <c r="C166" s="3" t="n"/>
    </row>
    <row r="167" ht="15.75" customHeight="1">
      <c r="C167" s="3" t="n"/>
    </row>
    <row r="168" ht="15.75" customHeight="1">
      <c r="C168" s="3" t="n"/>
    </row>
    <row r="169" ht="15.75" customHeight="1">
      <c r="C169" s="3" t="n"/>
    </row>
    <row r="170" ht="15.75" customHeight="1">
      <c r="C170" s="3" t="n"/>
    </row>
    <row r="171" ht="15.75" customHeight="1">
      <c r="C171" s="3" t="n"/>
    </row>
    <row r="172" ht="15.75" customHeight="1">
      <c r="C172" s="3" t="n"/>
    </row>
    <row r="173" ht="15.75" customHeight="1">
      <c r="C173" s="3" t="n"/>
    </row>
    <row r="174" ht="15.75" customHeight="1">
      <c r="C174" s="3" t="n"/>
    </row>
    <row r="175" ht="15.75" customHeight="1">
      <c r="C175" s="3" t="n"/>
    </row>
    <row r="176" ht="15.75" customHeight="1">
      <c r="C176" s="3" t="n"/>
    </row>
    <row r="177" ht="15.75" customHeight="1">
      <c r="C177" s="3" t="n"/>
    </row>
    <row r="178" ht="15.75" customHeight="1">
      <c r="C178" s="3" t="n"/>
    </row>
    <row r="179" ht="15.75" customHeight="1">
      <c r="C179" s="3" t="n"/>
    </row>
    <row r="180" ht="15.75" customHeight="1">
      <c r="C180" s="3" t="n"/>
    </row>
    <row r="181" ht="15.75" customHeight="1">
      <c r="C181" s="3" t="n"/>
    </row>
    <row r="182" ht="15.75" customHeight="1">
      <c r="C182" s="3" t="n"/>
    </row>
    <row r="183" ht="15.75" customHeight="1">
      <c r="C183" s="3" t="n"/>
    </row>
    <row r="184" ht="15.75" customHeight="1">
      <c r="C184" s="3" t="n"/>
    </row>
    <row r="185" ht="15.75" customHeight="1">
      <c r="C185" s="3" t="n"/>
    </row>
    <row r="186" ht="15.75" customHeight="1">
      <c r="C186" s="3" t="n"/>
    </row>
    <row r="187" ht="15.75" customHeight="1">
      <c r="C187" s="3" t="n"/>
    </row>
    <row r="188" ht="15.75" customHeight="1">
      <c r="C188" s="3" t="n"/>
    </row>
    <row r="189" ht="15.75" customHeight="1">
      <c r="C189" s="3" t="n"/>
    </row>
    <row r="190" ht="15.75" customHeight="1">
      <c r="C190" s="3" t="n"/>
    </row>
    <row r="191" ht="15.75" customHeight="1">
      <c r="C191" s="3" t="n"/>
    </row>
    <row r="192" ht="15.75" customHeight="1">
      <c r="C192" s="3" t="n"/>
    </row>
    <row r="193" ht="15.75" customHeight="1">
      <c r="C193" s="3" t="n"/>
    </row>
    <row r="194" ht="15.75" customHeight="1">
      <c r="C194" s="3" t="n"/>
    </row>
    <row r="195" ht="15.75" customHeight="1">
      <c r="C195" s="3" t="n"/>
    </row>
    <row r="196" ht="15.75" customHeight="1">
      <c r="C196" s="3" t="n"/>
    </row>
    <row r="197" ht="15.75" customHeight="1">
      <c r="C197" s="3" t="n"/>
    </row>
    <row r="198" ht="15.75" customHeight="1">
      <c r="C198" s="3" t="n"/>
    </row>
    <row r="199" ht="15.75" customHeight="1">
      <c r="C199" s="3" t="n"/>
    </row>
    <row r="200" ht="15.75" customHeight="1">
      <c r="C200" s="3" t="n"/>
    </row>
    <row r="201" ht="15.75" customHeight="1">
      <c r="C201" s="3" t="n"/>
    </row>
    <row r="202" ht="15.75" customHeight="1">
      <c r="C202" s="3" t="n"/>
    </row>
    <row r="203" ht="15.75" customHeight="1">
      <c r="C203" s="3" t="n"/>
    </row>
    <row r="204" ht="15.75" customHeight="1">
      <c r="C204" s="3" t="n"/>
    </row>
    <row r="205" ht="15.75" customHeight="1">
      <c r="C205" s="3" t="n"/>
    </row>
    <row r="206" ht="15.75" customHeight="1">
      <c r="C206" s="3" t="n"/>
    </row>
    <row r="207" ht="15.75" customHeight="1">
      <c r="C207" s="3" t="n"/>
    </row>
    <row r="208" ht="15.75" customHeight="1">
      <c r="C208" s="3" t="n"/>
    </row>
    <row r="209" ht="15.75" customHeight="1">
      <c r="C209" s="3" t="n"/>
    </row>
    <row r="210" ht="15.75" customHeight="1">
      <c r="C210" s="3" t="n"/>
    </row>
    <row r="211" ht="15.75" customHeight="1">
      <c r="C211" s="3" t="n"/>
    </row>
    <row r="212" ht="15.75" customHeight="1">
      <c r="C212" s="3" t="n"/>
    </row>
    <row r="213" ht="15.75" customHeight="1">
      <c r="C213" s="3" t="n"/>
    </row>
    <row r="214" ht="15.75" customHeight="1">
      <c r="C214" s="3" t="n"/>
    </row>
    <row r="215" ht="15.75" customHeight="1">
      <c r="C215" s="3" t="n"/>
    </row>
    <row r="216" ht="15.75" customHeight="1">
      <c r="C216" s="3" t="n"/>
    </row>
    <row r="217" ht="15.75" customHeight="1">
      <c r="C217" s="3" t="n"/>
    </row>
    <row r="218" ht="15.75" customHeight="1">
      <c r="C218" s="3" t="n"/>
    </row>
    <row r="219" ht="15.75" customHeight="1">
      <c r="C219" s="3" t="n"/>
    </row>
    <row r="220" ht="15.75" customHeight="1">
      <c r="C220" s="3" t="n"/>
    </row>
    <row r="221" ht="15.75" customHeight="1">
      <c r="C221" s="3" t="n"/>
    </row>
    <row r="222" ht="15.75" customHeight="1">
      <c r="C222" s="3" t="n"/>
    </row>
    <row r="223" ht="15.75" customHeight="1">
      <c r="C223" s="3" t="n"/>
    </row>
    <row r="224" ht="15.75" customHeight="1">
      <c r="C224" s="3" t="n"/>
    </row>
    <row r="225" ht="15.75" customHeight="1">
      <c r="C225" s="3" t="n"/>
    </row>
    <row r="226" ht="15.75" customHeight="1">
      <c r="C226" s="3" t="n"/>
    </row>
    <row r="227" ht="15.75" customHeight="1">
      <c r="C227" s="3" t="n"/>
    </row>
    <row r="228" ht="15.75" customHeight="1">
      <c r="C228" s="3" t="n"/>
    </row>
    <row r="229" ht="15.75" customHeight="1">
      <c r="C229" s="3" t="n"/>
    </row>
    <row r="230" ht="15.75" customHeight="1">
      <c r="C230" s="3" t="n"/>
    </row>
    <row r="231" ht="15.75" customHeight="1">
      <c r="C231" s="3" t="n"/>
    </row>
    <row r="232" ht="15.75" customHeight="1">
      <c r="C232" s="3" t="n"/>
    </row>
    <row r="233" ht="15.75" customHeight="1">
      <c r="C233" s="3" t="n"/>
    </row>
    <row r="234" ht="15.75" customHeight="1">
      <c r="C234" s="3" t="n"/>
    </row>
    <row r="235" ht="15.75" customHeight="1">
      <c r="C235" s="3" t="n"/>
    </row>
    <row r="236" ht="15.75" customHeight="1">
      <c r="C236" s="3" t="n"/>
    </row>
    <row r="237" ht="15.75" customHeight="1">
      <c r="C237" s="3" t="n"/>
    </row>
    <row r="238" ht="15.75" customHeight="1">
      <c r="C238" s="3" t="n"/>
    </row>
    <row r="239" ht="15.75" customHeight="1">
      <c r="C239" s="3" t="n"/>
    </row>
    <row r="240" ht="15.75" customHeight="1">
      <c r="C240" s="3" t="n"/>
    </row>
    <row r="241" ht="15.75" customHeight="1">
      <c r="C241" s="3" t="n"/>
    </row>
    <row r="242" ht="15.75" customHeight="1">
      <c r="C242" s="3" t="n"/>
    </row>
    <row r="243" ht="15.75" customHeight="1">
      <c r="C243" s="3" t="n"/>
    </row>
    <row r="244" ht="15.75" customHeight="1">
      <c r="C244" s="3" t="n"/>
    </row>
    <row r="245" ht="15.75" customHeight="1">
      <c r="C245" s="3" t="n"/>
    </row>
    <row r="246" ht="15.75" customHeight="1">
      <c r="C246" s="3" t="n"/>
    </row>
    <row r="247" ht="15.75" customHeight="1">
      <c r="C247" s="3" t="n"/>
    </row>
    <row r="248" ht="15.75" customHeight="1">
      <c r="C248" s="3" t="n"/>
    </row>
    <row r="249" ht="15.75" customHeight="1">
      <c r="C249" s="3" t="n"/>
    </row>
    <row r="250" ht="15.75" customHeight="1">
      <c r="C250" s="3" t="n"/>
    </row>
    <row r="251" ht="15.75" customHeight="1">
      <c r="C251" s="3" t="n"/>
    </row>
    <row r="252" ht="15.75" customHeight="1">
      <c r="C252" s="3" t="n"/>
    </row>
    <row r="253" ht="15.75" customHeight="1">
      <c r="C253" s="3" t="n"/>
    </row>
    <row r="254" ht="15.75" customHeight="1">
      <c r="C254" s="3" t="n"/>
    </row>
    <row r="255" ht="15.75" customHeight="1">
      <c r="C255" s="3" t="n"/>
    </row>
    <row r="256" ht="15.75" customHeight="1">
      <c r="C256" s="3" t="n"/>
    </row>
    <row r="257" ht="15.75" customHeight="1">
      <c r="C257" s="3" t="n"/>
    </row>
    <row r="258" ht="15.75" customHeight="1">
      <c r="C258" s="3" t="n"/>
    </row>
    <row r="259" ht="15.75" customHeight="1">
      <c r="C259" s="3" t="n"/>
    </row>
    <row r="260" ht="15.75" customHeight="1">
      <c r="C260" s="3" t="n"/>
    </row>
    <row r="261" ht="15.75" customHeight="1">
      <c r="C261" s="3" t="n"/>
    </row>
    <row r="262" ht="15.75" customHeight="1">
      <c r="C262" s="3" t="n"/>
    </row>
    <row r="263" ht="15.75" customHeight="1">
      <c r="C263" s="3" t="n"/>
    </row>
    <row r="264" ht="15.75" customHeight="1">
      <c r="C264" s="3" t="n"/>
    </row>
    <row r="265" ht="15.75" customHeight="1">
      <c r="C265" s="3" t="n"/>
    </row>
    <row r="266" ht="15.75" customHeight="1">
      <c r="C266" s="3" t="n"/>
    </row>
    <row r="267" ht="15.75" customHeight="1">
      <c r="C267" s="3" t="n"/>
    </row>
    <row r="268" ht="15.75" customHeight="1">
      <c r="C268" s="3" t="n"/>
    </row>
    <row r="269" ht="15.75" customHeight="1">
      <c r="C269" s="3" t="n"/>
    </row>
    <row r="270" ht="15.75" customHeight="1">
      <c r="C270" s="3" t="n"/>
    </row>
    <row r="271" ht="15.75" customHeight="1">
      <c r="C271" s="3" t="n"/>
    </row>
    <row r="272" ht="15.75" customHeight="1">
      <c r="C272" s="3" t="n"/>
    </row>
    <row r="273" ht="15.75" customHeight="1">
      <c r="C273" s="3" t="n"/>
    </row>
    <row r="274" ht="15.75" customHeight="1">
      <c r="C274" s="3" t="n"/>
    </row>
    <row r="275" ht="15.75" customHeight="1">
      <c r="C275" s="3" t="n"/>
    </row>
    <row r="276" ht="15.75" customHeight="1">
      <c r="C276" s="3" t="n"/>
    </row>
    <row r="277" ht="15.75" customHeight="1">
      <c r="C277" s="3" t="n"/>
    </row>
    <row r="278" ht="15.75" customHeight="1">
      <c r="C278" s="3" t="n"/>
    </row>
    <row r="279" ht="15.75" customHeight="1">
      <c r="C279" s="3" t="n"/>
    </row>
    <row r="280" ht="15.75" customHeight="1">
      <c r="C280" s="3" t="n"/>
    </row>
    <row r="281" ht="15.75" customHeight="1">
      <c r="C281" s="3" t="n"/>
    </row>
    <row r="282" ht="15.75" customHeight="1">
      <c r="C282" s="3" t="n"/>
    </row>
    <row r="283" ht="15.75" customHeight="1">
      <c r="C283" s="3" t="n"/>
    </row>
    <row r="284" ht="15.75" customHeight="1">
      <c r="C284" s="3" t="n"/>
    </row>
    <row r="285" ht="15.75" customHeight="1">
      <c r="C285" s="3" t="n"/>
    </row>
    <row r="286" ht="15.75" customHeight="1">
      <c r="C286" s="3" t="n"/>
    </row>
    <row r="287" ht="15.75" customHeight="1">
      <c r="C287" s="3" t="n"/>
    </row>
    <row r="288" ht="15.75" customHeight="1">
      <c r="C288" s="3" t="n"/>
    </row>
    <row r="289" ht="15.75" customHeight="1">
      <c r="C289" s="3" t="n"/>
    </row>
    <row r="290" ht="15.75" customHeight="1">
      <c r="C290" s="3" t="n"/>
    </row>
    <row r="291" ht="15.75" customHeight="1">
      <c r="C291" s="3" t="n"/>
    </row>
    <row r="292" ht="15.75" customHeight="1">
      <c r="C292" s="3" t="n"/>
    </row>
    <row r="293" ht="15.75" customHeight="1">
      <c r="C293" s="3" t="n"/>
    </row>
    <row r="294" ht="15.75" customHeight="1">
      <c r="C294" s="3" t="n"/>
    </row>
    <row r="295" ht="15.75" customHeight="1">
      <c r="C295" s="3" t="n"/>
    </row>
    <row r="296" ht="15.75" customHeight="1">
      <c r="C296" s="3" t="n"/>
    </row>
    <row r="297" ht="15.75" customHeight="1">
      <c r="C297" s="3" t="n"/>
    </row>
    <row r="298" ht="15.75" customHeight="1">
      <c r="C298" s="3" t="n"/>
    </row>
    <row r="299" ht="15.75" customHeight="1">
      <c r="C299" s="3" t="n"/>
    </row>
    <row r="300" ht="15.75" customHeight="1">
      <c r="C300" s="3" t="n"/>
    </row>
    <row r="301" ht="15.75" customHeight="1">
      <c r="C301" s="3" t="n"/>
    </row>
    <row r="302" ht="15.75" customHeight="1">
      <c r="C302" s="3" t="n"/>
    </row>
    <row r="303" ht="15.75" customHeight="1">
      <c r="C303" s="3" t="n"/>
    </row>
    <row r="304" ht="15.75" customHeight="1">
      <c r="C304" s="3" t="n"/>
    </row>
    <row r="305" ht="15.75" customHeight="1">
      <c r="C305" s="3" t="n"/>
    </row>
    <row r="306" ht="15.75" customHeight="1">
      <c r="C306" s="3" t="n"/>
    </row>
    <row r="307" ht="15.75" customHeight="1">
      <c r="C307" s="3" t="n"/>
    </row>
    <row r="308" ht="15.75" customHeight="1">
      <c r="C308" s="3" t="n"/>
    </row>
    <row r="309" ht="15.75" customHeight="1">
      <c r="C309" s="3" t="n"/>
    </row>
    <row r="310" ht="15.75" customHeight="1">
      <c r="C310" s="3" t="n"/>
    </row>
    <row r="311" ht="15.75" customHeight="1">
      <c r="C311" s="3" t="n"/>
    </row>
    <row r="312" ht="15.75" customHeight="1">
      <c r="C312" s="3" t="n"/>
    </row>
    <row r="313" ht="15.75" customHeight="1">
      <c r="C313" s="3" t="n"/>
    </row>
    <row r="314" ht="15.75" customHeight="1">
      <c r="C314" s="3" t="n"/>
    </row>
    <row r="315" ht="15.75" customHeight="1">
      <c r="C315" s="3" t="n"/>
    </row>
    <row r="316" ht="15.75" customHeight="1">
      <c r="C316" s="3" t="n"/>
    </row>
    <row r="317" ht="15.75" customHeight="1">
      <c r="C317" s="3" t="n"/>
    </row>
    <row r="318" ht="15.75" customHeight="1">
      <c r="C318" s="3" t="n"/>
    </row>
    <row r="319" ht="15.75" customHeight="1">
      <c r="C319" s="3" t="n"/>
    </row>
    <row r="320" ht="15.75" customHeight="1">
      <c r="C320" s="3" t="n"/>
    </row>
    <row r="321" ht="15.75" customHeight="1">
      <c r="C321" s="3" t="n"/>
    </row>
    <row r="322" ht="15.75" customHeight="1">
      <c r="C322" s="3" t="n"/>
    </row>
    <row r="323" ht="15.75" customHeight="1">
      <c r="C323" s="3" t="n"/>
    </row>
    <row r="324" ht="15.75" customHeight="1">
      <c r="C324" s="3" t="n"/>
    </row>
    <row r="325" ht="15.75" customHeight="1">
      <c r="C325" s="3" t="n"/>
    </row>
    <row r="326" ht="15.75" customHeight="1">
      <c r="C326" s="3" t="n"/>
    </row>
    <row r="327" ht="15.75" customHeight="1">
      <c r="C327" s="3" t="n"/>
    </row>
    <row r="328" ht="15.75" customHeight="1">
      <c r="C328" s="3" t="n"/>
    </row>
    <row r="329" ht="15.75" customHeight="1">
      <c r="C329" s="3" t="n"/>
    </row>
    <row r="330" ht="15.75" customHeight="1">
      <c r="C330" s="3" t="n"/>
    </row>
    <row r="331" ht="15.75" customHeight="1">
      <c r="C331" s="3" t="n"/>
    </row>
    <row r="332" ht="15.75" customHeight="1">
      <c r="C332" s="3" t="n"/>
    </row>
    <row r="333" ht="15.75" customHeight="1">
      <c r="C333" s="3" t="n"/>
    </row>
    <row r="334" ht="15.75" customHeight="1">
      <c r="C334" s="3" t="n"/>
    </row>
    <row r="335" ht="15.75" customHeight="1">
      <c r="C335" s="3" t="n"/>
    </row>
    <row r="336" ht="15.75" customHeight="1">
      <c r="C336" s="3" t="n"/>
    </row>
    <row r="337" ht="15.75" customHeight="1">
      <c r="C337" s="3" t="n"/>
    </row>
    <row r="338" ht="15.75" customHeight="1">
      <c r="C338" s="3" t="n"/>
    </row>
    <row r="339" ht="15.75" customHeight="1">
      <c r="C339" s="3" t="n"/>
    </row>
    <row r="340" ht="15.75" customHeight="1">
      <c r="C340" s="3" t="n"/>
    </row>
    <row r="341" ht="15.75" customHeight="1">
      <c r="C341" s="3" t="n"/>
    </row>
    <row r="342" ht="15.75" customHeight="1">
      <c r="C342" s="3" t="n"/>
    </row>
    <row r="343" ht="15.75" customHeight="1">
      <c r="C343" s="3" t="n"/>
    </row>
    <row r="344" ht="15.75" customHeight="1">
      <c r="C344" s="3" t="n"/>
    </row>
    <row r="345" ht="15.75" customHeight="1">
      <c r="C345" s="3" t="n"/>
    </row>
    <row r="346" ht="15.75" customHeight="1">
      <c r="C346" s="3" t="n"/>
    </row>
    <row r="347" ht="15.75" customHeight="1">
      <c r="C347" s="3" t="n"/>
    </row>
    <row r="348" ht="15.75" customHeight="1">
      <c r="C348" s="3" t="n"/>
    </row>
    <row r="349" ht="15.75" customHeight="1">
      <c r="C349" s="3" t="n"/>
    </row>
    <row r="350" ht="15.75" customHeight="1">
      <c r="C350" s="3" t="n"/>
    </row>
    <row r="351" ht="15.75" customHeight="1">
      <c r="C351" s="3" t="n"/>
    </row>
    <row r="352" ht="15.75" customHeight="1">
      <c r="C352" s="3" t="n"/>
    </row>
    <row r="353" ht="15.75" customHeight="1">
      <c r="C353" s="3" t="n"/>
    </row>
    <row r="354" ht="15.75" customHeight="1">
      <c r="C354" s="3" t="n"/>
    </row>
    <row r="355" ht="15.75" customHeight="1">
      <c r="C355" s="3" t="n"/>
    </row>
    <row r="356" ht="15.75" customHeight="1">
      <c r="C356" s="3" t="n"/>
    </row>
    <row r="357" ht="15.75" customHeight="1">
      <c r="C357" s="3" t="n"/>
    </row>
    <row r="358" ht="15.75" customHeight="1">
      <c r="C358" s="3" t="n"/>
    </row>
    <row r="359" ht="15.75" customHeight="1">
      <c r="C359" s="3" t="n"/>
    </row>
    <row r="360" ht="15.75" customHeight="1">
      <c r="C360" s="3" t="n"/>
    </row>
    <row r="361" ht="15.75" customHeight="1">
      <c r="C361" s="3" t="n"/>
    </row>
    <row r="362" ht="15.75" customHeight="1">
      <c r="C362" s="3" t="n"/>
    </row>
    <row r="363" ht="15.75" customHeight="1">
      <c r="C363" s="3" t="n"/>
    </row>
    <row r="364" ht="15.75" customHeight="1">
      <c r="C364" s="3" t="n"/>
    </row>
    <row r="365" ht="15.75" customHeight="1">
      <c r="C365" s="3" t="n"/>
    </row>
    <row r="366" ht="15.75" customHeight="1">
      <c r="C366" s="3" t="n"/>
    </row>
    <row r="367" ht="15.75" customHeight="1">
      <c r="C367" s="3" t="n"/>
    </row>
    <row r="368" ht="15.75" customHeight="1">
      <c r="C368" s="3" t="n"/>
    </row>
    <row r="369" ht="15.75" customHeight="1">
      <c r="C369" s="3" t="n"/>
    </row>
    <row r="370" ht="15.75" customHeight="1">
      <c r="C370" s="3" t="n"/>
    </row>
    <row r="371" ht="15.75" customHeight="1">
      <c r="C371" s="3" t="n"/>
    </row>
    <row r="372" ht="15.75" customHeight="1">
      <c r="C372" s="3" t="n"/>
    </row>
    <row r="373" ht="15.75" customHeight="1">
      <c r="C373" s="3" t="n"/>
    </row>
    <row r="374" ht="15.75" customHeight="1">
      <c r="C374" s="3" t="n"/>
    </row>
    <row r="375" ht="15.75" customHeight="1">
      <c r="C375" s="3" t="n"/>
    </row>
    <row r="376" ht="15.75" customHeight="1">
      <c r="C376" s="3" t="n"/>
    </row>
    <row r="377" ht="15.75" customHeight="1">
      <c r="C377" s="3" t="n"/>
    </row>
    <row r="378" ht="15.75" customHeight="1">
      <c r="C378" s="3" t="n"/>
    </row>
    <row r="379" ht="15.75" customHeight="1">
      <c r="C379" s="3" t="n"/>
    </row>
    <row r="380" ht="15.75" customHeight="1">
      <c r="C380" s="3" t="n"/>
    </row>
    <row r="381" ht="15.75" customHeight="1">
      <c r="C381" s="3" t="n"/>
    </row>
    <row r="382" ht="15.75" customHeight="1">
      <c r="C382" s="3" t="n"/>
    </row>
    <row r="383" ht="15.75" customHeight="1">
      <c r="C383" s="3" t="n"/>
    </row>
    <row r="384" ht="15.75" customHeight="1">
      <c r="C384" s="3" t="n"/>
    </row>
    <row r="385" ht="15.75" customHeight="1">
      <c r="C385" s="3" t="n"/>
    </row>
    <row r="386" ht="15.75" customHeight="1">
      <c r="C386" s="3" t="n"/>
    </row>
    <row r="387" ht="15.75" customHeight="1">
      <c r="C387" s="3" t="n"/>
    </row>
    <row r="388" ht="15.75" customHeight="1">
      <c r="C388" s="3" t="n"/>
    </row>
    <row r="389" ht="15.75" customHeight="1">
      <c r="C389" s="3" t="n"/>
    </row>
    <row r="390" ht="15.75" customHeight="1">
      <c r="C390" s="3" t="n"/>
    </row>
    <row r="391" ht="15.75" customHeight="1">
      <c r="C391" s="3" t="n"/>
    </row>
    <row r="392" ht="15.75" customHeight="1">
      <c r="C392" s="3" t="n"/>
    </row>
    <row r="393" ht="15.75" customHeight="1">
      <c r="C393" s="3" t="n"/>
    </row>
    <row r="394" ht="15.75" customHeight="1">
      <c r="C394" s="3" t="n"/>
    </row>
    <row r="395" ht="15.75" customHeight="1">
      <c r="C395" s="3" t="n"/>
    </row>
    <row r="396" ht="15.75" customHeight="1">
      <c r="C396" s="3" t="n"/>
    </row>
    <row r="397" ht="15.75" customHeight="1">
      <c r="C397" s="3" t="n"/>
    </row>
    <row r="398" ht="15.75" customHeight="1">
      <c r="C398" s="3" t="n"/>
    </row>
    <row r="399" ht="15.75" customHeight="1">
      <c r="C399" s="3" t="n"/>
    </row>
    <row r="400" ht="15.75" customHeight="1">
      <c r="C400" s="3" t="n"/>
    </row>
    <row r="401" ht="15.75" customHeight="1">
      <c r="C401" s="3" t="n"/>
    </row>
    <row r="402" ht="15.75" customHeight="1">
      <c r="C402" s="3" t="n"/>
    </row>
    <row r="403" ht="15.75" customHeight="1">
      <c r="C403" s="3" t="n"/>
    </row>
    <row r="404" ht="15.75" customHeight="1">
      <c r="C404" s="3" t="n"/>
    </row>
    <row r="405" ht="15.75" customHeight="1">
      <c r="C405" s="3" t="n"/>
    </row>
    <row r="406" ht="15.75" customHeight="1">
      <c r="C406" s="3" t="n"/>
    </row>
    <row r="407" ht="15.75" customHeight="1">
      <c r="C407" s="3" t="n"/>
    </row>
    <row r="408" ht="15.75" customHeight="1">
      <c r="C408" s="3" t="n"/>
    </row>
    <row r="409" ht="15.75" customHeight="1">
      <c r="C409" s="3" t="n"/>
    </row>
    <row r="410" ht="15.75" customHeight="1">
      <c r="C410" s="3" t="n"/>
    </row>
    <row r="411" ht="15.75" customHeight="1">
      <c r="C411" s="3" t="n"/>
    </row>
    <row r="412" ht="15.75" customHeight="1">
      <c r="C412" s="3" t="n"/>
    </row>
    <row r="413" ht="15.75" customHeight="1">
      <c r="C413" s="3" t="n"/>
    </row>
    <row r="414" ht="15.75" customHeight="1">
      <c r="C414" s="3" t="n"/>
    </row>
    <row r="415" ht="15.75" customHeight="1">
      <c r="C415" s="3" t="n"/>
    </row>
    <row r="416" ht="15.75" customHeight="1">
      <c r="C416" s="3" t="n"/>
    </row>
    <row r="417" ht="15.75" customHeight="1">
      <c r="C417" s="3" t="n"/>
    </row>
    <row r="418" ht="15.75" customHeight="1">
      <c r="C418" s="3" t="n"/>
    </row>
    <row r="419" ht="15.75" customHeight="1">
      <c r="C419" s="3" t="n"/>
    </row>
    <row r="420" ht="15.75" customHeight="1">
      <c r="C420" s="3" t="n"/>
    </row>
    <row r="421" ht="15.75" customHeight="1">
      <c r="C421" s="3" t="n"/>
    </row>
    <row r="422" ht="15.75" customHeight="1">
      <c r="C422" s="3" t="n"/>
    </row>
    <row r="423" ht="15.75" customHeight="1">
      <c r="C423" s="3" t="n"/>
    </row>
    <row r="424" ht="15.75" customHeight="1">
      <c r="C424" s="3" t="n"/>
    </row>
    <row r="425" ht="15.75" customHeight="1">
      <c r="C425" s="3" t="n"/>
    </row>
    <row r="426" ht="15.75" customHeight="1">
      <c r="C426" s="3" t="n"/>
    </row>
    <row r="427" ht="15.75" customHeight="1">
      <c r="C427" s="3" t="n"/>
    </row>
    <row r="428" ht="15.75" customHeight="1">
      <c r="C428" s="3" t="n"/>
    </row>
    <row r="429" ht="15.75" customHeight="1">
      <c r="C429" s="3" t="n"/>
    </row>
    <row r="430" ht="15.75" customHeight="1">
      <c r="C430" s="3" t="n"/>
    </row>
    <row r="431" ht="15.75" customHeight="1">
      <c r="C431" s="3" t="n"/>
    </row>
    <row r="432" ht="15.75" customHeight="1">
      <c r="C432" s="3" t="n"/>
    </row>
    <row r="433" ht="15.75" customHeight="1">
      <c r="C433" s="3" t="n"/>
    </row>
    <row r="434" ht="15.75" customHeight="1">
      <c r="C434" s="3" t="n"/>
    </row>
    <row r="435" ht="15.75" customHeight="1">
      <c r="C435" s="3" t="n"/>
    </row>
    <row r="436" ht="15.75" customHeight="1">
      <c r="C436" s="3" t="n"/>
    </row>
    <row r="437" ht="15.75" customHeight="1">
      <c r="C437" s="3" t="n"/>
    </row>
    <row r="438" ht="15.75" customHeight="1">
      <c r="C438" s="3" t="n"/>
    </row>
    <row r="439" ht="15.75" customHeight="1">
      <c r="C439" s="3" t="n"/>
    </row>
    <row r="440" ht="15.75" customHeight="1">
      <c r="C440" s="3" t="n"/>
    </row>
    <row r="441" ht="15.75" customHeight="1">
      <c r="C441" s="3" t="n"/>
    </row>
    <row r="442" ht="15.75" customHeight="1">
      <c r="C442" s="3" t="n"/>
    </row>
    <row r="443" ht="15.75" customHeight="1">
      <c r="C443" s="3" t="n"/>
    </row>
    <row r="444" ht="15.75" customHeight="1">
      <c r="C444" s="3" t="n"/>
    </row>
    <row r="445" ht="15.75" customHeight="1">
      <c r="C445" s="3" t="n"/>
    </row>
    <row r="446" ht="15.75" customHeight="1">
      <c r="C446" s="3" t="n"/>
    </row>
    <row r="447" ht="15.75" customHeight="1">
      <c r="C447" s="3" t="n"/>
    </row>
    <row r="448" ht="15.75" customHeight="1">
      <c r="C448" s="3" t="n"/>
    </row>
    <row r="449" ht="15.75" customHeight="1">
      <c r="C449" s="3" t="n"/>
    </row>
    <row r="450" ht="15.75" customHeight="1">
      <c r="C450" s="3" t="n"/>
    </row>
    <row r="451" ht="15.75" customHeight="1">
      <c r="C451" s="3" t="n"/>
    </row>
    <row r="452" ht="15.75" customHeight="1">
      <c r="C452" s="3" t="n"/>
    </row>
    <row r="453" ht="15.75" customHeight="1">
      <c r="C453" s="3" t="n"/>
    </row>
    <row r="454" ht="15.75" customHeight="1">
      <c r="C454" s="3" t="n"/>
    </row>
    <row r="455" ht="15.75" customHeight="1">
      <c r="C455" s="3" t="n"/>
    </row>
    <row r="456" ht="15.75" customHeight="1">
      <c r="C456" s="3" t="n"/>
    </row>
    <row r="457" ht="15.75" customHeight="1">
      <c r="C457" s="3" t="n"/>
    </row>
    <row r="458" ht="15.75" customHeight="1">
      <c r="C458" s="3" t="n"/>
    </row>
    <row r="459" ht="15.75" customHeight="1">
      <c r="C459" s="3" t="n"/>
    </row>
    <row r="460" ht="15.75" customHeight="1">
      <c r="C460" s="3" t="n"/>
    </row>
    <row r="461" ht="15.75" customHeight="1">
      <c r="C461" s="3" t="n"/>
    </row>
    <row r="462" ht="15.75" customHeight="1">
      <c r="C462" s="3" t="n"/>
    </row>
    <row r="463" ht="15.75" customHeight="1">
      <c r="C463" s="3" t="n"/>
    </row>
    <row r="464" ht="15.75" customHeight="1">
      <c r="C464" s="3" t="n"/>
    </row>
    <row r="465" ht="15.75" customHeight="1">
      <c r="C465" s="3" t="n"/>
    </row>
    <row r="466" ht="15.75" customHeight="1">
      <c r="C466" s="3" t="n"/>
    </row>
    <row r="467" ht="15.75" customHeight="1">
      <c r="C467" s="3" t="n"/>
    </row>
    <row r="468" ht="15.75" customHeight="1">
      <c r="C468" s="3" t="n"/>
    </row>
    <row r="469" ht="15.75" customHeight="1">
      <c r="C469" s="3" t="n"/>
    </row>
    <row r="470" ht="15.75" customHeight="1">
      <c r="C470" s="3" t="n"/>
    </row>
    <row r="471" ht="15.75" customHeight="1">
      <c r="C471" s="3" t="n"/>
    </row>
    <row r="472" ht="15.75" customHeight="1">
      <c r="C472" s="3" t="n"/>
    </row>
    <row r="473" ht="15.75" customHeight="1">
      <c r="C473" s="3" t="n"/>
    </row>
    <row r="474" ht="15.75" customHeight="1">
      <c r="C474" s="3" t="n"/>
    </row>
    <row r="475" ht="15.75" customHeight="1">
      <c r="C475" s="3" t="n"/>
    </row>
    <row r="476" ht="15.75" customHeight="1">
      <c r="C476" s="3" t="n"/>
    </row>
    <row r="477" ht="15.75" customHeight="1">
      <c r="C477" s="3" t="n"/>
    </row>
    <row r="478" ht="15.75" customHeight="1">
      <c r="C478" s="3" t="n"/>
    </row>
    <row r="479" ht="15.75" customHeight="1">
      <c r="C479" s="3" t="n"/>
    </row>
    <row r="480" ht="15.75" customHeight="1">
      <c r="C480" s="3" t="n"/>
    </row>
    <row r="481" ht="15.75" customHeight="1">
      <c r="C481" s="3" t="n"/>
    </row>
    <row r="482" ht="15.75" customHeight="1">
      <c r="C482" s="3" t="n"/>
    </row>
    <row r="483" ht="15.75" customHeight="1">
      <c r="C483" s="3" t="n"/>
    </row>
    <row r="484" ht="15.75" customHeight="1">
      <c r="C484" s="3" t="n"/>
    </row>
    <row r="485" ht="15.75" customHeight="1">
      <c r="C485" s="3" t="n"/>
    </row>
    <row r="486" ht="15.75" customHeight="1">
      <c r="C486" s="3" t="n"/>
    </row>
    <row r="487" ht="15.75" customHeight="1">
      <c r="C487" s="3" t="n"/>
    </row>
    <row r="488" ht="15.75" customHeight="1">
      <c r="C488" s="3" t="n"/>
    </row>
    <row r="489" ht="15.75" customHeight="1">
      <c r="C489" s="3" t="n"/>
    </row>
    <row r="490" ht="15.75" customHeight="1">
      <c r="C490" s="3" t="n"/>
    </row>
    <row r="491" ht="15.75" customHeight="1">
      <c r="C491" s="3" t="n"/>
    </row>
    <row r="492" ht="15.75" customHeight="1">
      <c r="C492" s="3" t="n"/>
    </row>
    <row r="493" ht="15.75" customHeight="1">
      <c r="C493" s="3" t="n"/>
    </row>
    <row r="494" ht="15.75" customHeight="1">
      <c r="C494" s="3" t="n"/>
    </row>
    <row r="495" ht="15.75" customHeight="1">
      <c r="C495" s="3" t="n"/>
    </row>
    <row r="496" ht="15.75" customHeight="1">
      <c r="C496" s="3" t="n"/>
    </row>
    <row r="497" ht="15.75" customHeight="1">
      <c r="C497" s="3" t="n"/>
    </row>
    <row r="498" ht="15.75" customHeight="1">
      <c r="C498" s="3" t="n"/>
    </row>
    <row r="499" ht="15.75" customHeight="1">
      <c r="C499" s="3" t="n"/>
    </row>
    <row r="500" ht="15.75" customHeight="1">
      <c r="C500" s="3" t="n"/>
    </row>
    <row r="501" ht="15.75" customHeight="1">
      <c r="C501" s="3" t="n"/>
    </row>
    <row r="502" ht="15.75" customHeight="1">
      <c r="C502" s="3" t="n"/>
    </row>
    <row r="503" ht="15.75" customHeight="1">
      <c r="C503" s="3" t="n"/>
    </row>
    <row r="504" ht="15.75" customHeight="1">
      <c r="C504" s="3" t="n"/>
    </row>
    <row r="505" ht="15.75" customHeight="1">
      <c r="C505" s="3" t="n"/>
    </row>
    <row r="506" ht="15.75" customHeight="1">
      <c r="C506" s="3" t="n"/>
    </row>
    <row r="507" ht="15.75" customHeight="1">
      <c r="C507" s="3" t="n"/>
    </row>
    <row r="508" ht="15.75" customHeight="1">
      <c r="C508" s="3" t="n"/>
    </row>
    <row r="509" ht="15.75" customHeight="1">
      <c r="C509" s="3" t="n"/>
    </row>
    <row r="510" ht="15.75" customHeight="1">
      <c r="C510" s="3" t="n"/>
    </row>
    <row r="511" ht="15.75" customHeight="1">
      <c r="C511" s="3" t="n"/>
    </row>
    <row r="512" ht="15.75" customHeight="1">
      <c r="C512" s="3" t="n"/>
    </row>
    <row r="513" ht="15.75" customHeight="1">
      <c r="C513" s="3" t="n"/>
    </row>
    <row r="514" ht="15.75" customHeight="1">
      <c r="C514" s="3" t="n"/>
    </row>
    <row r="515" ht="15.75" customHeight="1">
      <c r="C515" s="3" t="n"/>
    </row>
    <row r="516" ht="15.75" customHeight="1">
      <c r="C516" s="3" t="n"/>
    </row>
    <row r="517" ht="15.75" customHeight="1">
      <c r="C517" s="3" t="n"/>
    </row>
    <row r="518" ht="15.75" customHeight="1">
      <c r="C518" s="3" t="n"/>
    </row>
    <row r="519" ht="15.75" customHeight="1">
      <c r="C519" s="3" t="n"/>
    </row>
    <row r="520" ht="15.75" customHeight="1">
      <c r="C520" s="3" t="n"/>
    </row>
    <row r="521" ht="15.75" customHeight="1">
      <c r="C521" s="3" t="n"/>
    </row>
    <row r="522" ht="15.75" customHeight="1">
      <c r="C522" s="3" t="n"/>
    </row>
    <row r="523" ht="15.75" customHeight="1">
      <c r="C523" s="3" t="n"/>
    </row>
    <row r="524" ht="15.75" customHeight="1">
      <c r="C524" s="3" t="n"/>
    </row>
    <row r="525" ht="15.75" customHeight="1">
      <c r="C525" s="3" t="n"/>
    </row>
    <row r="526" ht="15.75" customHeight="1">
      <c r="C526" s="3" t="n"/>
    </row>
    <row r="527" ht="15.75" customHeight="1">
      <c r="C527" s="3" t="n"/>
    </row>
    <row r="528" ht="15.75" customHeight="1">
      <c r="C528" s="3" t="n"/>
    </row>
    <row r="529" ht="15.75" customHeight="1">
      <c r="C529" s="3" t="n"/>
    </row>
    <row r="530" ht="15.75" customHeight="1">
      <c r="C530" s="3" t="n"/>
    </row>
    <row r="531" ht="15.75" customHeight="1">
      <c r="C531" s="3" t="n"/>
    </row>
    <row r="532" ht="15.75" customHeight="1">
      <c r="C532" s="3" t="n"/>
    </row>
    <row r="533" ht="15.75" customHeight="1">
      <c r="C533" s="3" t="n"/>
    </row>
    <row r="534" ht="15.75" customHeight="1">
      <c r="C534" s="3" t="n"/>
    </row>
    <row r="535" ht="15.75" customHeight="1">
      <c r="C535" s="3" t="n"/>
    </row>
    <row r="536" ht="15.75" customHeight="1">
      <c r="C536" s="3" t="n"/>
    </row>
    <row r="537" ht="15.75" customHeight="1">
      <c r="C537" s="3" t="n"/>
    </row>
    <row r="538" ht="15.75" customHeight="1">
      <c r="C538" s="3" t="n"/>
    </row>
    <row r="539" ht="15.75" customHeight="1">
      <c r="C539" s="3" t="n"/>
    </row>
    <row r="540" ht="15.75" customHeight="1">
      <c r="C540" s="3" t="n"/>
    </row>
    <row r="541" ht="15.75" customHeight="1">
      <c r="C541" s="3" t="n"/>
    </row>
    <row r="542" ht="15.75" customHeight="1">
      <c r="C542" s="3" t="n"/>
    </row>
    <row r="543" ht="15.75" customHeight="1">
      <c r="C543" s="3" t="n"/>
    </row>
    <row r="544" ht="15.75" customHeight="1">
      <c r="C544" s="3" t="n"/>
    </row>
    <row r="545" ht="15.75" customHeight="1">
      <c r="C545" s="3" t="n"/>
    </row>
    <row r="546" ht="15.75" customHeight="1">
      <c r="C546" s="3" t="n"/>
    </row>
    <row r="547" ht="15.75" customHeight="1">
      <c r="C547" s="3" t="n"/>
    </row>
    <row r="548" ht="15.75" customHeight="1">
      <c r="C548" s="3" t="n"/>
    </row>
    <row r="549" ht="15.75" customHeight="1">
      <c r="C549" s="3" t="n"/>
    </row>
    <row r="550" ht="15.75" customHeight="1">
      <c r="C550" s="3" t="n"/>
    </row>
    <row r="551" ht="15.75" customHeight="1">
      <c r="C551" s="3" t="n"/>
    </row>
    <row r="552" ht="15.75" customHeight="1">
      <c r="C552" s="3" t="n"/>
    </row>
    <row r="553" ht="15.75" customHeight="1">
      <c r="C553" s="3" t="n"/>
    </row>
    <row r="554" ht="15.75" customHeight="1">
      <c r="C554" s="3" t="n"/>
    </row>
    <row r="555" ht="15.75" customHeight="1">
      <c r="C555" s="3" t="n"/>
    </row>
    <row r="556" ht="15.75" customHeight="1">
      <c r="C556" s="3" t="n"/>
    </row>
    <row r="557" ht="15.75" customHeight="1">
      <c r="C557" s="3" t="n"/>
    </row>
    <row r="558" ht="15.75" customHeight="1">
      <c r="C558" s="3" t="n"/>
    </row>
    <row r="559" ht="15.75" customHeight="1">
      <c r="C559" s="3" t="n"/>
    </row>
    <row r="560" ht="15.75" customHeight="1">
      <c r="C560" s="3" t="n"/>
    </row>
    <row r="561" ht="15.75" customHeight="1">
      <c r="C561" s="3" t="n"/>
    </row>
    <row r="562" ht="15.75" customHeight="1">
      <c r="C562" s="3" t="n"/>
    </row>
    <row r="563" ht="15.75" customHeight="1">
      <c r="C563" s="3" t="n"/>
    </row>
    <row r="564" ht="15.75" customHeight="1">
      <c r="C564" s="3" t="n"/>
    </row>
    <row r="565" ht="15.75" customHeight="1">
      <c r="C565" s="3" t="n"/>
    </row>
    <row r="566" ht="15.75" customHeight="1">
      <c r="C566" s="3" t="n"/>
    </row>
    <row r="567" ht="15.75" customHeight="1">
      <c r="C567" s="3" t="n"/>
    </row>
    <row r="568" ht="15.75" customHeight="1">
      <c r="C568" s="3" t="n"/>
    </row>
    <row r="569" ht="15.75" customHeight="1">
      <c r="C569" s="3" t="n"/>
    </row>
    <row r="570" ht="15.75" customHeight="1">
      <c r="C570" s="3" t="n"/>
    </row>
    <row r="571" ht="15.75" customHeight="1">
      <c r="C571" s="3" t="n"/>
    </row>
    <row r="572" ht="15.75" customHeight="1">
      <c r="C572" s="3" t="n"/>
    </row>
    <row r="573" ht="15.75" customHeight="1">
      <c r="C573" s="3" t="n"/>
    </row>
    <row r="574" ht="15.75" customHeight="1">
      <c r="C574" s="3" t="n"/>
    </row>
    <row r="575" ht="15.75" customHeight="1">
      <c r="C575" s="3" t="n"/>
    </row>
    <row r="576" ht="15.75" customHeight="1">
      <c r="C576" s="3" t="n"/>
    </row>
    <row r="577" ht="15.75" customHeight="1">
      <c r="C577" s="3" t="n"/>
    </row>
    <row r="578" ht="15.75" customHeight="1">
      <c r="C578" s="3" t="n"/>
    </row>
    <row r="579" ht="15.75" customHeight="1">
      <c r="C579" s="3" t="n"/>
    </row>
    <row r="580" ht="15.75" customHeight="1">
      <c r="C580" s="3" t="n"/>
    </row>
    <row r="581" ht="15.75" customHeight="1">
      <c r="C581" s="3" t="n"/>
    </row>
    <row r="582" ht="15.75" customHeight="1">
      <c r="C582" s="3" t="n"/>
    </row>
    <row r="583" ht="15.75" customHeight="1">
      <c r="C583" s="3" t="n"/>
    </row>
    <row r="584" ht="15.75" customHeight="1">
      <c r="C584" s="3" t="n"/>
    </row>
    <row r="585" ht="15.75" customHeight="1">
      <c r="C585" s="3" t="n"/>
    </row>
    <row r="586" ht="15.75" customHeight="1">
      <c r="C586" s="3" t="n"/>
    </row>
    <row r="587" ht="15.75" customHeight="1">
      <c r="C587" s="3" t="n"/>
    </row>
    <row r="588" ht="15.75" customHeight="1">
      <c r="C588" s="3" t="n"/>
    </row>
    <row r="589" ht="15.75" customHeight="1">
      <c r="C589" s="3" t="n"/>
    </row>
    <row r="590" ht="15.75" customHeight="1">
      <c r="C590" s="3" t="n"/>
    </row>
    <row r="591" ht="15.75" customHeight="1">
      <c r="C591" s="3" t="n"/>
    </row>
    <row r="592" ht="15.75" customHeight="1">
      <c r="C592" s="3" t="n"/>
    </row>
    <row r="593" ht="15.75" customHeight="1">
      <c r="C593" s="3" t="n"/>
    </row>
    <row r="594" ht="15.75" customHeight="1">
      <c r="C594" s="3" t="n"/>
    </row>
    <row r="595" ht="15.75" customHeight="1">
      <c r="C595" s="3" t="n"/>
    </row>
    <row r="596" ht="15.75" customHeight="1">
      <c r="C596" s="3" t="n"/>
    </row>
    <row r="597" ht="15.75" customHeight="1">
      <c r="C597" s="3" t="n"/>
    </row>
    <row r="598" ht="15.75" customHeight="1">
      <c r="C598" s="3" t="n"/>
    </row>
    <row r="599" ht="15.75" customHeight="1">
      <c r="C599" s="3" t="n"/>
    </row>
    <row r="600" ht="15.75" customHeight="1">
      <c r="C600" s="3" t="n"/>
    </row>
    <row r="601" ht="15.75" customHeight="1">
      <c r="C601" s="3" t="n"/>
    </row>
    <row r="602" ht="15.75" customHeight="1">
      <c r="C602" s="3" t="n"/>
    </row>
    <row r="603" ht="15.75" customHeight="1">
      <c r="C603" s="3" t="n"/>
    </row>
    <row r="604" ht="15.75" customHeight="1">
      <c r="C604" s="3" t="n"/>
    </row>
    <row r="605" ht="15.75" customHeight="1">
      <c r="C605" s="3" t="n"/>
    </row>
    <row r="606" ht="15.75" customHeight="1">
      <c r="C606" s="3" t="n"/>
    </row>
    <row r="607" ht="15.75" customHeight="1">
      <c r="C607" s="3" t="n"/>
    </row>
    <row r="608" ht="15.75" customHeight="1">
      <c r="C608" s="3" t="n"/>
    </row>
    <row r="609" ht="15.75" customHeight="1">
      <c r="C609" s="3" t="n"/>
    </row>
    <row r="610" ht="15.75" customHeight="1">
      <c r="C610" s="3" t="n"/>
    </row>
    <row r="611" ht="15.75" customHeight="1">
      <c r="C611" s="3" t="n"/>
    </row>
    <row r="612" ht="15.75" customHeight="1">
      <c r="C612" s="3" t="n"/>
    </row>
    <row r="613" ht="15.75" customHeight="1">
      <c r="C613" s="3" t="n"/>
    </row>
    <row r="614" ht="15.75" customHeight="1">
      <c r="C614" s="3" t="n"/>
    </row>
    <row r="615" ht="15.75" customHeight="1">
      <c r="C615" s="3" t="n"/>
    </row>
    <row r="616" ht="15.75" customHeight="1">
      <c r="C616" s="3" t="n"/>
    </row>
    <row r="617" ht="15.75" customHeight="1">
      <c r="C617" s="3" t="n"/>
    </row>
    <row r="618" ht="15.75" customHeight="1">
      <c r="C618" s="3" t="n"/>
    </row>
    <row r="619" ht="15.75" customHeight="1">
      <c r="C619" s="3" t="n"/>
    </row>
    <row r="620" ht="15.75" customHeight="1">
      <c r="C620" s="3" t="n"/>
    </row>
    <row r="621" ht="15.75" customHeight="1">
      <c r="C621" s="3" t="n"/>
    </row>
    <row r="622" ht="15.75" customHeight="1">
      <c r="C622" s="3" t="n"/>
    </row>
    <row r="623" ht="15.75" customHeight="1">
      <c r="C623" s="3" t="n"/>
    </row>
    <row r="624" ht="15.75" customHeight="1">
      <c r="C624" s="3" t="n"/>
    </row>
    <row r="625" ht="15.75" customHeight="1">
      <c r="C625" s="3" t="n"/>
    </row>
    <row r="626" ht="15.75" customHeight="1">
      <c r="C626" s="3" t="n"/>
    </row>
    <row r="627" ht="15.75" customHeight="1">
      <c r="C627" s="3" t="n"/>
    </row>
    <row r="628" ht="15.75" customHeight="1">
      <c r="C628" s="3" t="n"/>
    </row>
    <row r="629" ht="15.75" customHeight="1">
      <c r="C629" s="3" t="n"/>
    </row>
    <row r="630" ht="15.75" customHeight="1">
      <c r="C630" s="3" t="n"/>
    </row>
    <row r="631" ht="15.75" customHeight="1">
      <c r="C631" s="3" t="n"/>
    </row>
    <row r="632" ht="15.75" customHeight="1">
      <c r="C632" s="3" t="n"/>
    </row>
    <row r="633" ht="15.75" customHeight="1">
      <c r="C633" s="3" t="n"/>
    </row>
    <row r="634" ht="15.75" customHeight="1">
      <c r="C634" s="3" t="n"/>
    </row>
    <row r="635" ht="15.75" customHeight="1">
      <c r="C635" s="3" t="n"/>
    </row>
    <row r="636" ht="15.75" customHeight="1">
      <c r="C636" s="3" t="n"/>
    </row>
    <row r="637" ht="15.75" customHeight="1">
      <c r="C637" s="3" t="n"/>
    </row>
    <row r="638" ht="15.75" customHeight="1">
      <c r="C638" s="3" t="n"/>
    </row>
    <row r="639" ht="15.75" customHeight="1">
      <c r="C639" s="3" t="n"/>
    </row>
    <row r="640" ht="15.75" customHeight="1">
      <c r="C640" s="3" t="n"/>
    </row>
    <row r="641" ht="15.75" customHeight="1">
      <c r="C641" s="3" t="n"/>
    </row>
    <row r="642" ht="15.75" customHeight="1">
      <c r="C642" s="3" t="n"/>
    </row>
    <row r="643" ht="15.75" customHeight="1">
      <c r="C643" s="3" t="n"/>
    </row>
    <row r="644" ht="15.75" customHeight="1">
      <c r="C644" s="3" t="n"/>
    </row>
    <row r="645" ht="15.75" customHeight="1">
      <c r="C645" s="3" t="n"/>
    </row>
    <row r="646" ht="15.75" customHeight="1">
      <c r="C646" s="3" t="n"/>
    </row>
    <row r="647" ht="15.75" customHeight="1">
      <c r="C647" s="3" t="n"/>
    </row>
    <row r="648" ht="15.75" customHeight="1">
      <c r="C648" s="3" t="n"/>
    </row>
    <row r="649" ht="15.75" customHeight="1">
      <c r="C649" s="3" t="n"/>
    </row>
    <row r="650" ht="15.75" customHeight="1">
      <c r="C650" s="3" t="n"/>
    </row>
    <row r="651" ht="15.75" customHeight="1">
      <c r="C651" s="3" t="n"/>
    </row>
    <row r="652" ht="15.75" customHeight="1">
      <c r="C652" s="3" t="n"/>
    </row>
    <row r="653" ht="15.75" customHeight="1">
      <c r="C653" s="3" t="n"/>
    </row>
    <row r="654" ht="15.75" customHeight="1">
      <c r="C654" s="3" t="n"/>
    </row>
    <row r="655" ht="15.75" customHeight="1">
      <c r="C655" s="3" t="n"/>
    </row>
    <row r="656" ht="15.75" customHeight="1">
      <c r="C656" s="3" t="n"/>
    </row>
    <row r="657" ht="15.75" customHeight="1">
      <c r="C657" s="3" t="n"/>
    </row>
    <row r="658" ht="15.75" customHeight="1">
      <c r="C658" s="3" t="n"/>
    </row>
    <row r="659" ht="15.75" customHeight="1">
      <c r="C659" s="3" t="n"/>
    </row>
    <row r="660" ht="15.75" customHeight="1">
      <c r="C660" s="3" t="n"/>
    </row>
    <row r="661" ht="15.75" customHeight="1">
      <c r="C661" s="3" t="n"/>
    </row>
    <row r="662" ht="15.75" customHeight="1">
      <c r="C662" s="3" t="n"/>
    </row>
    <row r="663" ht="15.75" customHeight="1">
      <c r="C663" s="3" t="n"/>
    </row>
    <row r="664" ht="15.75" customHeight="1">
      <c r="C664" s="3" t="n"/>
    </row>
    <row r="665" ht="15.75" customHeight="1">
      <c r="C665" s="3" t="n"/>
    </row>
    <row r="666" ht="15.75" customHeight="1">
      <c r="C666" s="3" t="n"/>
    </row>
    <row r="667" ht="15.75" customHeight="1">
      <c r="C667" s="3" t="n"/>
    </row>
    <row r="668" ht="15.75" customHeight="1">
      <c r="C668" s="3" t="n"/>
    </row>
    <row r="669" ht="15.75" customHeight="1">
      <c r="C669" s="3" t="n"/>
    </row>
    <row r="670" ht="15.75" customHeight="1">
      <c r="C670" s="3" t="n"/>
    </row>
    <row r="671" ht="15.75" customHeight="1">
      <c r="C671" s="3" t="n"/>
    </row>
    <row r="672" ht="15.75" customHeight="1">
      <c r="C672" s="3" t="n"/>
    </row>
    <row r="673" ht="15.75" customHeight="1">
      <c r="C673" s="3" t="n"/>
    </row>
    <row r="674" ht="15.75" customHeight="1">
      <c r="C674" s="3" t="n"/>
    </row>
    <row r="675" ht="15.75" customHeight="1">
      <c r="C675" s="3" t="n"/>
    </row>
    <row r="676" ht="15.75" customHeight="1">
      <c r="C676" s="3" t="n"/>
    </row>
    <row r="677" ht="15.75" customHeight="1">
      <c r="C677" s="3" t="n"/>
    </row>
    <row r="678" ht="15.75" customHeight="1">
      <c r="C678" s="3" t="n"/>
    </row>
    <row r="679" ht="15.75" customHeight="1">
      <c r="C679" s="3" t="n"/>
    </row>
    <row r="680" ht="15.75" customHeight="1">
      <c r="C680" s="3" t="n"/>
    </row>
    <row r="681" ht="15.75" customHeight="1">
      <c r="C681" s="3" t="n"/>
    </row>
    <row r="682" ht="15.75" customHeight="1">
      <c r="C682" s="3" t="n"/>
    </row>
    <row r="683" ht="15.75" customHeight="1">
      <c r="C683" s="3" t="n"/>
    </row>
    <row r="684" ht="15.75" customHeight="1">
      <c r="C684" s="3" t="n"/>
    </row>
    <row r="685" ht="15.75" customHeight="1">
      <c r="C685" s="3" t="n"/>
    </row>
    <row r="686" ht="15.75" customHeight="1">
      <c r="C686" s="3" t="n"/>
    </row>
    <row r="687" ht="15.75" customHeight="1">
      <c r="C687" s="3" t="n"/>
    </row>
    <row r="688" ht="15.75" customHeight="1">
      <c r="C688" s="3" t="n"/>
    </row>
    <row r="689" ht="15.75" customHeight="1">
      <c r="C689" s="3" t="n"/>
    </row>
    <row r="690" ht="15.75" customHeight="1">
      <c r="C690" s="3" t="n"/>
    </row>
    <row r="691" ht="15.75" customHeight="1">
      <c r="C691" s="3" t="n"/>
    </row>
    <row r="692" ht="15.75" customHeight="1">
      <c r="C692" s="3" t="n"/>
    </row>
    <row r="693" ht="15.75" customHeight="1">
      <c r="C693" s="3" t="n"/>
    </row>
    <row r="694" ht="15.75" customHeight="1">
      <c r="C694" s="3" t="n"/>
    </row>
    <row r="695" ht="15.75" customHeight="1">
      <c r="C695" s="3" t="n"/>
    </row>
    <row r="696" ht="15.75" customHeight="1">
      <c r="C696" s="3" t="n"/>
    </row>
    <row r="697" ht="15.75" customHeight="1">
      <c r="C697" s="3" t="n"/>
    </row>
    <row r="698" ht="15.75" customHeight="1">
      <c r="C698" s="3" t="n"/>
    </row>
    <row r="699" ht="15.75" customHeight="1">
      <c r="C699" s="3" t="n"/>
    </row>
    <row r="700" ht="15.75" customHeight="1">
      <c r="C700" s="3" t="n"/>
    </row>
    <row r="701" ht="15.75" customHeight="1">
      <c r="C701" s="3" t="n"/>
    </row>
    <row r="702" ht="15.75" customHeight="1">
      <c r="C702" s="3" t="n"/>
    </row>
    <row r="703" ht="15.75" customHeight="1">
      <c r="C703" s="3" t="n"/>
    </row>
    <row r="704" ht="15.75" customHeight="1">
      <c r="C704" s="3" t="n"/>
    </row>
    <row r="705" ht="15.75" customHeight="1">
      <c r="C705" s="3" t="n"/>
    </row>
    <row r="706" ht="15.75" customHeight="1">
      <c r="C706" s="3" t="n"/>
    </row>
    <row r="707" ht="15.75" customHeight="1">
      <c r="C707" s="3" t="n"/>
    </row>
    <row r="708" ht="15.75" customHeight="1">
      <c r="C708" s="3" t="n"/>
    </row>
    <row r="709" ht="15.75" customHeight="1">
      <c r="C709" s="3" t="n"/>
    </row>
    <row r="710" ht="15.75" customHeight="1">
      <c r="C710" s="3" t="n"/>
    </row>
    <row r="711" ht="15.75" customHeight="1">
      <c r="C711" s="3" t="n"/>
    </row>
    <row r="712" ht="15.75" customHeight="1">
      <c r="C712" s="3" t="n"/>
    </row>
    <row r="713" ht="15.75" customHeight="1">
      <c r="C713" s="3" t="n"/>
    </row>
    <row r="714" ht="15.75" customHeight="1">
      <c r="C714" s="3" t="n"/>
    </row>
    <row r="715" ht="15.75" customHeight="1">
      <c r="C715" s="3" t="n"/>
    </row>
    <row r="716" ht="15.75" customHeight="1">
      <c r="C716" s="3" t="n"/>
    </row>
    <row r="717" ht="15.75" customHeight="1">
      <c r="C717" s="3" t="n"/>
    </row>
    <row r="718" ht="15.75" customHeight="1">
      <c r="C718" s="3" t="n"/>
    </row>
    <row r="719" ht="15.75" customHeight="1">
      <c r="C719" s="3" t="n"/>
    </row>
    <row r="720" ht="15.75" customHeight="1">
      <c r="C720" s="3" t="n"/>
    </row>
    <row r="721" ht="15.75" customHeight="1">
      <c r="C721" s="3" t="n"/>
    </row>
    <row r="722" ht="15.75" customHeight="1">
      <c r="C722" s="3" t="n"/>
    </row>
    <row r="723" ht="15.75" customHeight="1">
      <c r="C723" s="3" t="n"/>
    </row>
    <row r="724" ht="15.75" customHeight="1">
      <c r="C724" s="3" t="n"/>
    </row>
    <row r="725" ht="15.75" customHeight="1">
      <c r="C725" s="3" t="n"/>
    </row>
    <row r="726" ht="15.75" customHeight="1">
      <c r="C726" s="3" t="n"/>
    </row>
    <row r="727" ht="15.75" customHeight="1">
      <c r="C727" s="3" t="n"/>
    </row>
    <row r="728" ht="15.75" customHeight="1">
      <c r="C728" s="3" t="n"/>
    </row>
    <row r="729" ht="15.75" customHeight="1">
      <c r="C729" s="3" t="n"/>
    </row>
    <row r="730" ht="15.75" customHeight="1">
      <c r="C730" s="3" t="n"/>
    </row>
    <row r="731" ht="15.75" customHeight="1">
      <c r="C731" s="3" t="n"/>
    </row>
    <row r="732" ht="15.75" customHeight="1">
      <c r="C732" s="3" t="n"/>
    </row>
    <row r="733" ht="15.75" customHeight="1">
      <c r="C733" s="3" t="n"/>
    </row>
    <row r="734" ht="15.75" customHeight="1">
      <c r="C734" s="3" t="n"/>
    </row>
    <row r="735" ht="15.75" customHeight="1">
      <c r="C735" s="3" t="n"/>
    </row>
    <row r="736" ht="15.75" customHeight="1">
      <c r="C736" s="3" t="n"/>
    </row>
    <row r="737" ht="15.75" customHeight="1">
      <c r="C737" s="3" t="n"/>
    </row>
    <row r="738" ht="15.75" customHeight="1">
      <c r="C738" s="3" t="n"/>
    </row>
    <row r="739" ht="15.75" customHeight="1">
      <c r="C739" s="3" t="n"/>
    </row>
    <row r="740" ht="15.75" customHeight="1">
      <c r="C740" s="3" t="n"/>
    </row>
    <row r="741" ht="15.75" customHeight="1">
      <c r="C741" s="3" t="n"/>
    </row>
    <row r="742" ht="15.75" customHeight="1">
      <c r="C742" s="3" t="n"/>
    </row>
    <row r="743" ht="15.75" customHeight="1">
      <c r="C743" s="3" t="n"/>
    </row>
    <row r="744" ht="15.75" customHeight="1">
      <c r="C744" s="3" t="n"/>
    </row>
    <row r="745" ht="15.75" customHeight="1">
      <c r="C745" s="3" t="n"/>
    </row>
    <row r="746" ht="15.75" customHeight="1">
      <c r="C746" s="3" t="n"/>
    </row>
    <row r="747" ht="15.75" customHeight="1">
      <c r="C747" s="3" t="n"/>
    </row>
    <row r="748" ht="15.75" customHeight="1">
      <c r="C748" s="3" t="n"/>
    </row>
    <row r="749" ht="15.75" customHeight="1">
      <c r="C749" s="3" t="n"/>
    </row>
    <row r="750" ht="15.75" customHeight="1">
      <c r="C750" s="3" t="n"/>
    </row>
    <row r="751" ht="15.75" customHeight="1">
      <c r="C751" s="3" t="n"/>
    </row>
    <row r="752" ht="15.75" customHeight="1">
      <c r="C752" s="3" t="n"/>
    </row>
    <row r="753" ht="15.75" customHeight="1">
      <c r="C753" s="3" t="n"/>
    </row>
    <row r="754" ht="15.75" customHeight="1">
      <c r="C754" s="3" t="n"/>
    </row>
    <row r="755" ht="15.75" customHeight="1">
      <c r="C755" s="3" t="n"/>
    </row>
    <row r="756" ht="15.75" customHeight="1">
      <c r="C756" s="3" t="n"/>
    </row>
    <row r="757" ht="15.75" customHeight="1">
      <c r="C757" s="3" t="n"/>
    </row>
    <row r="758" ht="15.75" customHeight="1">
      <c r="C758" s="3" t="n"/>
    </row>
    <row r="759" ht="15.75" customHeight="1">
      <c r="C759" s="3" t="n"/>
    </row>
    <row r="760" ht="15.75" customHeight="1">
      <c r="C760" s="3" t="n"/>
    </row>
    <row r="761" ht="15.75" customHeight="1">
      <c r="C761" s="3" t="n"/>
    </row>
    <row r="762" ht="15.75" customHeight="1">
      <c r="C762" s="3" t="n"/>
    </row>
    <row r="763" ht="15.75" customHeight="1">
      <c r="C763" s="3" t="n"/>
    </row>
    <row r="764" ht="15.75" customHeight="1">
      <c r="C764" s="3" t="n"/>
    </row>
    <row r="765" ht="15.75" customHeight="1">
      <c r="C765" s="3" t="n"/>
    </row>
    <row r="766" ht="15.75" customHeight="1">
      <c r="C766" s="3" t="n"/>
    </row>
    <row r="767" ht="15.75" customHeight="1">
      <c r="C767" s="3" t="n"/>
    </row>
    <row r="768" ht="15.75" customHeight="1">
      <c r="C768" s="3" t="n"/>
    </row>
    <row r="769" ht="15.75" customHeight="1">
      <c r="C769" s="3" t="n"/>
    </row>
    <row r="770" ht="15.75" customHeight="1">
      <c r="C770" s="3" t="n"/>
    </row>
    <row r="771" ht="15.75" customHeight="1">
      <c r="C771" s="3" t="n"/>
    </row>
    <row r="772" ht="15.75" customHeight="1">
      <c r="C772" s="3" t="n"/>
    </row>
    <row r="773" ht="15.75" customHeight="1">
      <c r="C773" s="3" t="n"/>
    </row>
    <row r="774" ht="15.75" customHeight="1">
      <c r="C774" s="3" t="n"/>
    </row>
    <row r="775" ht="15.75" customHeight="1">
      <c r="C775" s="3" t="n"/>
    </row>
    <row r="776" ht="15.75" customHeight="1">
      <c r="C776" s="3" t="n"/>
    </row>
    <row r="777" ht="15.75" customHeight="1">
      <c r="C777" s="3" t="n"/>
    </row>
    <row r="778" ht="15.75" customHeight="1">
      <c r="C778" s="3" t="n"/>
    </row>
    <row r="779" ht="15.75" customHeight="1">
      <c r="C779" s="3" t="n"/>
    </row>
    <row r="780" ht="15.75" customHeight="1">
      <c r="C780" s="3" t="n"/>
    </row>
    <row r="781" ht="15.75" customHeight="1">
      <c r="C781" s="3" t="n"/>
    </row>
    <row r="782" ht="15.75" customHeight="1">
      <c r="C782" s="3" t="n"/>
    </row>
    <row r="783" ht="15.75" customHeight="1">
      <c r="C783" s="3" t="n"/>
    </row>
    <row r="784" ht="15.75" customHeight="1">
      <c r="C784" s="3" t="n"/>
    </row>
    <row r="785" ht="15.75" customHeight="1">
      <c r="C785" s="3" t="n"/>
    </row>
    <row r="786" ht="15.75" customHeight="1">
      <c r="C786" s="3" t="n"/>
    </row>
    <row r="787" ht="15.75" customHeight="1">
      <c r="C787" s="3" t="n"/>
    </row>
    <row r="788" ht="15.75" customHeight="1">
      <c r="C788" s="3" t="n"/>
    </row>
    <row r="789" ht="15.75" customHeight="1">
      <c r="C789" s="3" t="n"/>
    </row>
    <row r="790" ht="15.75" customHeight="1">
      <c r="C790" s="3" t="n"/>
    </row>
    <row r="791" ht="15.75" customHeight="1">
      <c r="C791" s="3" t="n"/>
    </row>
    <row r="792" ht="15.75" customHeight="1">
      <c r="C792" s="3" t="n"/>
    </row>
    <row r="793" ht="15.75" customHeight="1">
      <c r="C793" s="3" t="n"/>
    </row>
    <row r="794" ht="15.75" customHeight="1">
      <c r="C794" s="3" t="n"/>
    </row>
    <row r="795" ht="15.75" customHeight="1">
      <c r="C795" s="3" t="n"/>
    </row>
    <row r="796" ht="15.75" customHeight="1">
      <c r="C796" s="3" t="n"/>
    </row>
    <row r="797" ht="15.75" customHeight="1">
      <c r="C797" s="3" t="n"/>
    </row>
    <row r="798" ht="15.75" customHeight="1">
      <c r="C798" s="3" t="n"/>
    </row>
    <row r="799" ht="15.75" customHeight="1">
      <c r="C799" s="3" t="n"/>
    </row>
    <row r="800" ht="15.75" customHeight="1">
      <c r="C800" s="3" t="n"/>
    </row>
    <row r="801" ht="15.75" customHeight="1">
      <c r="C801" s="3" t="n"/>
    </row>
    <row r="802" ht="15.75" customHeight="1">
      <c r="C802" s="3" t="n"/>
    </row>
    <row r="803" ht="15.75" customHeight="1">
      <c r="C803" s="3" t="n"/>
    </row>
    <row r="804" ht="15.75" customHeight="1">
      <c r="C804" s="3" t="n"/>
    </row>
    <row r="805" ht="15.75" customHeight="1">
      <c r="C805" s="3" t="n"/>
    </row>
    <row r="806" ht="15.75" customHeight="1">
      <c r="C806" s="3" t="n"/>
    </row>
    <row r="807" ht="15.75" customHeight="1">
      <c r="C807" s="3" t="n"/>
    </row>
    <row r="808" ht="15.75" customHeight="1">
      <c r="C808" s="3" t="n"/>
    </row>
    <row r="809" ht="15.75" customHeight="1">
      <c r="C809" s="3" t="n"/>
    </row>
    <row r="810" ht="15.75" customHeight="1">
      <c r="C810" s="3" t="n"/>
    </row>
    <row r="811" ht="15.75" customHeight="1">
      <c r="C811" s="3" t="n"/>
    </row>
    <row r="812" ht="15.75" customHeight="1">
      <c r="C812" s="3" t="n"/>
    </row>
    <row r="813" ht="15.75" customHeight="1">
      <c r="C813" s="3" t="n"/>
    </row>
    <row r="814" ht="15.75" customHeight="1">
      <c r="C814" s="3" t="n"/>
    </row>
    <row r="815" ht="15.75" customHeight="1">
      <c r="C815" s="3" t="n"/>
    </row>
    <row r="816" ht="15.75" customHeight="1">
      <c r="C816" s="3" t="n"/>
    </row>
    <row r="817" ht="15.75" customHeight="1">
      <c r="C817" s="3" t="n"/>
    </row>
    <row r="818" ht="15.75" customHeight="1">
      <c r="C818" s="3" t="n"/>
    </row>
    <row r="819" ht="15.75" customHeight="1">
      <c r="C819" s="3" t="n"/>
    </row>
    <row r="820" ht="15.75" customHeight="1">
      <c r="C820" s="3" t="n"/>
    </row>
    <row r="821" ht="15.75" customHeight="1">
      <c r="C821" s="3" t="n"/>
    </row>
    <row r="822" ht="15.75" customHeight="1">
      <c r="C822" s="3" t="n"/>
    </row>
    <row r="823" ht="15.75" customHeight="1">
      <c r="C823" s="3" t="n"/>
    </row>
    <row r="824" ht="15.75" customHeight="1">
      <c r="C824" s="3" t="n"/>
    </row>
    <row r="825" ht="15.75" customHeight="1">
      <c r="C825" s="3" t="n"/>
    </row>
    <row r="826" ht="15.75" customHeight="1">
      <c r="C826" s="3" t="n"/>
    </row>
    <row r="827" ht="15.75" customHeight="1">
      <c r="C827" s="3" t="n"/>
    </row>
    <row r="828" ht="15.75" customHeight="1">
      <c r="C828" s="3" t="n"/>
    </row>
    <row r="829" ht="15.75" customHeight="1">
      <c r="C829" s="3" t="n"/>
    </row>
    <row r="830" ht="15.75" customHeight="1">
      <c r="C830" s="3" t="n"/>
    </row>
    <row r="831" ht="15.75" customHeight="1">
      <c r="C831" s="3" t="n"/>
    </row>
    <row r="832" ht="15.75" customHeight="1">
      <c r="C832" s="3" t="n"/>
    </row>
    <row r="833" ht="15.75" customHeight="1">
      <c r="C833" s="3" t="n"/>
    </row>
    <row r="834" ht="15.75" customHeight="1">
      <c r="C834" s="3" t="n"/>
    </row>
    <row r="835" ht="15.75" customHeight="1">
      <c r="C835" s="3" t="n"/>
    </row>
    <row r="836" ht="15.75" customHeight="1">
      <c r="C836" s="3" t="n"/>
    </row>
    <row r="837" ht="15.75" customHeight="1">
      <c r="C837" s="3" t="n"/>
    </row>
    <row r="838" ht="15.75" customHeight="1">
      <c r="C838" s="3" t="n"/>
    </row>
    <row r="839" ht="15.75" customHeight="1">
      <c r="C839" s="3" t="n"/>
    </row>
    <row r="840" ht="15.75" customHeight="1">
      <c r="C840" s="3" t="n"/>
    </row>
    <row r="841" ht="15.75" customHeight="1">
      <c r="C841" s="3" t="n"/>
    </row>
    <row r="842" ht="15.75" customHeight="1">
      <c r="C842" s="3" t="n"/>
    </row>
    <row r="843" ht="15.75" customHeight="1">
      <c r="C843" s="3" t="n"/>
    </row>
    <row r="844" ht="15.75" customHeight="1">
      <c r="C844" s="3" t="n"/>
    </row>
    <row r="845" ht="15.75" customHeight="1">
      <c r="C845" s="3" t="n"/>
    </row>
    <row r="846" ht="15.75" customHeight="1">
      <c r="C846" s="3" t="n"/>
    </row>
    <row r="847" ht="15.75" customHeight="1">
      <c r="C847" s="3" t="n"/>
    </row>
    <row r="848" ht="15.75" customHeight="1">
      <c r="C848" s="3" t="n"/>
    </row>
    <row r="849" ht="15.75" customHeight="1">
      <c r="C849" s="3" t="n"/>
    </row>
    <row r="850" ht="15.75" customHeight="1">
      <c r="C850" s="3" t="n"/>
    </row>
    <row r="851" ht="15.75" customHeight="1">
      <c r="C851" s="3" t="n"/>
    </row>
    <row r="852" ht="15.75" customHeight="1">
      <c r="C852" s="3" t="n"/>
    </row>
    <row r="853" ht="15.75" customHeight="1">
      <c r="C853" s="3" t="n"/>
    </row>
    <row r="854" ht="15.75" customHeight="1">
      <c r="C854" s="3" t="n"/>
    </row>
    <row r="855" ht="15.75" customHeight="1">
      <c r="C855" s="3" t="n"/>
    </row>
    <row r="856" ht="15.75" customHeight="1">
      <c r="C856" s="3" t="n"/>
    </row>
    <row r="857" ht="15.75" customHeight="1">
      <c r="C857" s="3" t="n"/>
    </row>
    <row r="858" ht="15.75" customHeight="1">
      <c r="C858" s="3" t="n"/>
    </row>
    <row r="859" ht="15.75" customHeight="1">
      <c r="C859" s="3" t="n"/>
    </row>
    <row r="860" ht="15.75" customHeight="1">
      <c r="C860" s="3" t="n"/>
    </row>
    <row r="861" ht="15.75" customHeight="1">
      <c r="C861" s="3" t="n"/>
    </row>
    <row r="862" ht="15.75" customHeight="1">
      <c r="C862" s="3" t="n"/>
    </row>
    <row r="863" ht="15.75" customHeight="1">
      <c r="C863" s="3" t="n"/>
    </row>
    <row r="864" ht="15.75" customHeight="1">
      <c r="C864" s="3" t="n"/>
    </row>
    <row r="865" ht="15.75" customHeight="1">
      <c r="C865" s="3" t="n"/>
    </row>
    <row r="866" ht="15.75" customHeight="1">
      <c r="C866" s="3" t="n"/>
    </row>
    <row r="867" ht="15.75" customHeight="1">
      <c r="C867" s="3" t="n"/>
    </row>
    <row r="868" ht="15.75" customHeight="1">
      <c r="C868" s="3" t="n"/>
    </row>
    <row r="869" ht="15.75" customHeight="1">
      <c r="C869" s="3" t="n"/>
    </row>
    <row r="870" ht="15.75" customHeight="1">
      <c r="C870" s="3" t="n"/>
    </row>
    <row r="871" ht="15.75" customHeight="1">
      <c r="C871" s="3" t="n"/>
    </row>
    <row r="872" ht="15.75" customHeight="1">
      <c r="C872" s="3" t="n"/>
    </row>
    <row r="873" ht="15.75" customHeight="1">
      <c r="C873" s="3" t="n"/>
    </row>
    <row r="874" ht="15.75" customHeight="1">
      <c r="C874" s="3" t="n"/>
    </row>
    <row r="875" ht="15.75" customHeight="1">
      <c r="C875" s="3" t="n"/>
    </row>
    <row r="876" ht="15.75" customHeight="1">
      <c r="C876" s="3" t="n"/>
    </row>
    <row r="877" ht="15.75" customHeight="1">
      <c r="C877" s="3" t="n"/>
    </row>
    <row r="878" ht="15.75" customHeight="1">
      <c r="C878" s="3" t="n"/>
    </row>
    <row r="879" ht="15.75" customHeight="1">
      <c r="C879" s="3" t="n"/>
    </row>
    <row r="880" ht="15.75" customHeight="1">
      <c r="C880" s="3" t="n"/>
    </row>
    <row r="881" ht="15.75" customHeight="1">
      <c r="C881" s="3" t="n"/>
    </row>
    <row r="882" ht="15.75" customHeight="1">
      <c r="C882" s="3" t="n"/>
    </row>
    <row r="883" ht="15.75" customHeight="1">
      <c r="C883" s="3" t="n"/>
    </row>
    <row r="884" ht="15.75" customHeight="1">
      <c r="C884" s="3" t="n"/>
    </row>
    <row r="885" ht="15.75" customHeight="1">
      <c r="C885" s="3" t="n"/>
    </row>
    <row r="886" ht="15.75" customHeight="1">
      <c r="C886" s="3" t="n"/>
    </row>
    <row r="887" ht="15.75" customHeight="1">
      <c r="C887" s="3" t="n"/>
    </row>
    <row r="888" ht="15.75" customHeight="1">
      <c r="C888" s="3" t="n"/>
    </row>
    <row r="889" ht="15.75" customHeight="1">
      <c r="C889" s="3" t="n"/>
    </row>
    <row r="890" ht="15.75" customHeight="1">
      <c r="C890" s="3" t="n"/>
    </row>
    <row r="891" ht="15.75" customHeight="1">
      <c r="C891" s="3" t="n"/>
    </row>
    <row r="892" ht="15.75" customHeight="1">
      <c r="C892" s="3" t="n"/>
    </row>
    <row r="893" ht="15.75" customHeight="1">
      <c r="C893" s="3" t="n"/>
    </row>
    <row r="894" ht="15.75" customHeight="1">
      <c r="C894" s="3" t="n"/>
    </row>
    <row r="895" ht="15.75" customHeight="1">
      <c r="C895" s="3" t="n"/>
    </row>
    <row r="896" ht="15.75" customHeight="1">
      <c r="C896" s="3" t="n"/>
    </row>
    <row r="897" ht="15.75" customHeight="1">
      <c r="C897" s="3" t="n"/>
    </row>
    <row r="898" ht="15.75" customHeight="1">
      <c r="C898" s="3" t="n"/>
    </row>
    <row r="899" ht="15.75" customHeight="1">
      <c r="C899" s="3" t="n"/>
    </row>
    <row r="900" ht="15.75" customHeight="1">
      <c r="C900" s="3" t="n"/>
    </row>
    <row r="901" ht="15.75" customHeight="1">
      <c r="C901" s="3" t="n"/>
    </row>
    <row r="902" ht="15.75" customHeight="1">
      <c r="C902" s="3" t="n"/>
    </row>
    <row r="903" ht="15.75" customHeight="1">
      <c r="C903" s="3" t="n"/>
    </row>
    <row r="904" ht="15.75" customHeight="1">
      <c r="C904" s="3" t="n"/>
    </row>
    <row r="905" ht="15.75" customHeight="1">
      <c r="C905" s="3" t="n"/>
    </row>
    <row r="906" ht="15.75" customHeight="1">
      <c r="C906" s="3" t="n"/>
    </row>
    <row r="907" ht="15.75" customHeight="1">
      <c r="C907" s="3" t="n"/>
    </row>
    <row r="908" ht="15.75" customHeight="1">
      <c r="C908" s="3" t="n"/>
    </row>
    <row r="909" ht="15.75" customHeight="1">
      <c r="C909" s="3" t="n"/>
    </row>
    <row r="910" ht="15.75" customHeight="1">
      <c r="C910" s="3" t="n"/>
    </row>
    <row r="911" ht="15.75" customHeight="1">
      <c r="C911" s="3" t="n"/>
    </row>
    <row r="912" ht="15.75" customHeight="1">
      <c r="C912" s="3" t="n"/>
    </row>
    <row r="913" ht="15.75" customHeight="1">
      <c r="C913" s="3" t="n"/>
    </row>
    <row r="914" ht="15.75" customHeight="1">
      <c r="C914" s="3" t="n"/>
    </row>
    <row r="915" ht="15.75" customHeight="1">
      <c r="C915" s="3" t="n"/>
    </row>
    <row r="916" ht="15.75" customHeight="1">
      <c r="C916" s="3" t="n"/>
    </row>
    <row r="917" ht="15.75" customHeight="1">
      <c r="C917" s="3" t="n"/>
    </row>
    <row r="918" ht="15.75" customHeight="1">
      <c r="C918" s="3" t="n"/>
    </row>
    <row r="919" ht="15.75" customHeight="1">
      <c r="C919" s="3" t="n"/>
    </row>
    <row r="920" ht="15.75" customHeight="1">
      <c r="C920" s="3" t="n"/>
    </row>
    <row r="921" ht="15.75" customHeight="1">
      <c r="C921" s="3" t="n"/>
    </row>
    <row r="922" ht="15.75" customHeight="1">
      <c r="C922" s="3" t="n"/>
    </row>
    <row r="923" ht="15.75" customHeight="1">
      <c r="C923" s="3" t="n"/>
    </row>
    <row r="924" ht="15.75" customHeight="1">
      <c r="C924" s="3" t="n"/>
    </row>
    <row r="925" ht="15.75" customHeight="1">
      <c r="C925" s="3" t="n"/>
    </row>
    <row r="926" ht="15.75" customHeight="1">
      <c r="C926" s="3" t="n"/>
    </row>
    <row r="927" ht="15.75" customHeight="1">
      <c r="C927" s="3" t="n"/>
    </row>
    <row r="928" ht="15.75" customHeight="1">
      <c r="C928" s="3" t="n"/>
    </row>
    <row r="929" ht="15.75" customHeight="1">
      <c r="C929" s="3" t="n"/>
    </row>
    <row r="930" ht="15.75" customHeight="1">
      <c r="C930" s="3" t="n"/>
    </row>
    <row r="931" ht="15.75" customHeight="1">
      <c r="C931" s="3" t="n"/>
    </row>
    <row r="932" ht="15.75" customHeight="1">
      <c r="C932" s="3" t="n"/>
    </row>
    <row r="933" ht="15.75" customHeight="1">
      <c r="C933" s="3" t="n"/>
    </row>
    <row r="934" ht="15.75" customHeight="1">
      <c r="C934" s="3" t="n"/>
    </row>
    <row r="935" ht="15.75" customHeight="1">
      <c r="C935" s="3" t="n"/>
    </row>
    <row r="936" ht="15.75" customHeight="1">
      <c r="C936" s="3" t="n"/>
    </row>
    <row r="937" ht="15.75" customHeight="1">
      <c r="C937" s="3" t="n"/>
    </row>
    <row r="938" ht="15.75" customHeight="1">
      <c r="C938" s="3" t="n"/>
    </row>
    <row r="939" ht="15.75" customHeight="1">
      <c r="C939" s="3" t="n"/>
    </row>
    <row r="940" ht="15.75" customHeight="1">
      <c r="C940" s="3" t="n"/>
    </row>
    <row r="941" ht="15.75" customHeight="1">
      <c r="C941" s="3" t="n"/>
    </row>
    <row r="942" ht="15.75" customHeight="1">
      <c r="C942" s="3" t="n"/>
    </row>
    <row r="943" ht="15.75" customHeight="1">
      <c r="C943" s="3" t="n"/>
    </row>
    <row r="944" ht="15.75" customHeight="1">
      <c r="C944" s="3" t="n"/>
    </row>
    <row r="945" ht="15.75" customHeight="1">
      <c r="C945" s="3" t="n"/>
    </row>
    <row r="946" ht="15.75" customHeight="1">
      <c r="C946" s="3" t="n"/>
    </row>
    <row r="947" ht="15.75" customHeight="1">
      <c r="C947" s="3" t="n"/>
    </row>
    <row r="948" ht="15.75" customHeight="1">
      <c r="C948" s="3" t="n"/>
    </row>
    <row r="949" ht="15.75" customHeight="1">
      <c r="C949" s="3" t="n"/>
    </row>
    <row r="950" ht="15.75" customHeight="1">
      <c r="C950" s="3" t="n"/>
    </row>
    <row r="951" ht="15.75" customHeight="1">
      <c r="C951" s="3" t="n"/>
    </row>
    <row r="952" ht="15.75" customHeight="1">
      <c r="C952" s="3" t="n"/>
    </row>
    <row r="953" ht="15.75" customHeight="1">
      <c r="C953" s="3" t="n"/>
    </row>
    <row r="954" ht="15.75" customHeight="1">
      <c r="C954" s="3" t="n"/>
    </row>
    <row r="955" ht="15.75" customHeight="1">
      <c r="C955" s="3" t="n"/>
    </row>
    <row r="956" ht="15.75" customHeight="1">
      <c r="C956" s="3" t="n"/>
    </row>
    <row r="957" ht="15.75" customHeight="1">
      <c r="C957" s="3" t="n"/>
    </row>
    <row r="958" ht="15.75" customHeight="1">
      <c r="C958" s="3" t="n"/>
    </row>
    <row r="959" ht="15.75" customHeight="1">
      <c r="C959" s="3" t="n"/>
    </row>
    <row r="960" ht="15.75" customHeight="1">
      <c r="C960" s="3" t="n"/>
    </row>
    <row r="961" ht="15.75" customHeight="1">
      <c r="C961" s="3" t="n"/>
    </row>
    <row r="962" ht="15.75" customHeight="1">
      <c r="C962" s="3" t="n"/>
    </row>
    <row r="963" ht="15.75" customHeight="1">
      <c r="C963" s="3" t="n"/>
    </row>
    <row r="964" ht="15.75" customHeight="1">
      <c r="C964" s="3" t="n"/>
    </row>
    <row r="965" ht="15.75" customHeight="1">
      <c r="C965" s="3" t="n"/>
    </row>
    <row r="966" ht="15.75" customHeight="1">
      <c r="C966" s="3" t="n"/>
    </row>
    <row r="967" ht="15.75" customHeight="1">
      <c r="C967" s="3" t="n"/>
    </row>
    <row r="968" ht="15.75" customHeight="1">
      <c r="C968" s="3" t="n"/>
    </row>
    <row r="969" ht="15.75" customHeight="1">
      <c r="C969" s="3" t="n"/>
    </row>
    <row r="970" ht="15.75" customHeight="1">
      <c r="C970" s="3" t="n"/>
    </row>
    <row r="971" ht="15.75" customHeight="1">
      <c r="C971" s="3" t="n"/>
    </row>
    <row r="972" ht="15.75" customHeight="1">
      <c r="C972" s="3" t="n"/>
    </row>
    <row r="973" ht="15.75" customHeight="1">
      <c r="C973" s="3" t="n"/>
    </row>
    <row r="974" ht="15.75" customHeight="1">
      <c r="C974" s="3" t="n"/>
    </row>
    <row r="975" ht="15.75" customHeight="1">
      <c r="C975" s="3" t="n"/>
    </row>
    <row r="976" ht="15.75" customHeight="1">
      <c r="C976" s="3" t="n"/>
    </row>
    <row r="977" ht="15.75" customHeight="1">
      <c r="C977" s="3" t="n"/>
    </row>
    <row r="978" ht="15.75" customHeight="1">
      <c r="C978" s="3" t="n"/>
    </row>
    <row r="979" ht="15.75" customHeight="1">
      <c r="C979" s="3" t="n"/>
    </row>
    <row r="980" ht="15.75" customHeight="1">
      <c r="C980" s="3" t="n"/>
    </row>
    <row r="981" ht="15.75" customHeight="1">
      <c r="C981" s="3" t="n"/>
    </row>
    <row r="982" ht="15.75" customHeight="1">
      <c r="C982" s="3" t="n"/>
    </row>
    <row r="983" ht="15.75" customHeight="1">
      <c r="C983" s="3" t="n"/>
    </row>
    <row r="984" ht="15.75" customHeight="1">
      <c r="C984" s="3" t="n"/>
    </row>
    <row r="985" ht="15.75" customHeight="1">
      <c r="C985" s="3" t="n"/>
    </row>
    <row r="986" ht="15.75" customHeight="1">
      <c r="C986" s="3" t="n"/>
    </row>
    <row r="987" ht="15.75" customHeight="1">
      <c r="C987" s="3" t="n"/>
    </row>
    <row r="988" ht="15.75" customHeight="1">
      <c r="C988" s="3" t="n"/>
    </row>
    <row r="989" ht="15.75" customHeight="1">
      <c r="C989" s="3" t="n"/>
    </row>
    <row r="990" ht="15.75" customHeight="1">
      <c r="C990" s="3" t="n"/>
    </row>
    <row r="991" ht="15.75" customHeight="1">
      <c r="C991" s="3" t="n"/>
    </row>
    <row r="992" ht="15.75" customHeight="1">
      <c r="C992" s="3" t="n"/>
    </row>
    <row r="993" ht="15.75" customHeight="1">
      <c r="C993" s="3" t="n"/>
    </row>
    <row r="994" ht="15.75" customHeight="1">
      <c r="C994" s="3" t="n"/>
    </row>
    <row r="995" ht="15.75" customHeight="1">
      <c r="C995" s="3" t="n"/>
    </row>
    <row r="996" ht="15.75" customHeight="1">
      <c r="C996" s="3" t="n"/>
    </row>
    <row r="997" ht="15.75" customHeight="1">
      <c r="C997" s="3" t="n"/>
    </row>
    <row r="998" ht="15.75" customHeight="1">
      <c r="C998" s="3" t="n"/>
    </row>
    <row r="999" ht="15.75" customHeight="1">
      <c r="C999" s="3" t="n"/>
    </row>
    <row r="1000" ht="15.75" customHeight="1">
      <c r="C1000" s="3" t="n"/>
    </row>
  </sheetData>
  <mergeCells count="1">
    <mergeCell ref="B4:G4"/>
  </mergeCells>
  <dataValidations count="4">
    <dataValidation sqref="A2" showDropDown="0" showInputMessage="0" showErrorMessage="1" allowBlank="0" type="list">
      <formula1>"LEIC,MEIC,MESW,MIA,MM,N"</formula1>
    </dataValidation>
    <dataValidation sqref="E2:F2" showDropDown="0" showInputMessage="1" showErrorMessage="1" allowBlank="0" prompt="Data inválida - Introduza uma data válida (ex: 01/01/2026)" type="date" operator="greaterThanOrEqual">
      <formula1>DATE(2000,1,1)</formula1>
    </dataValidation>
    <dataValidation sqref="B2" showDropDown="0" showInputMessage="0" showErrorMessage="1" allowBlank="0" type="list">
      <formula1>"1,2"</formula1>
    </dataValidation>
    <dataValidation sqref="D2" showDropDown="0" showInputMessage="0" showErrorMessage="1" allowBlank="0" type="list">
      <formula1>"Normal,Recurso"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3" max="3"/>
  </cols>
  <sheetData>
    <row r="1" ht="15.75" customHeight="1">
      <c r="A1" s="2" t="n"/>
      <c r="B1" s="6" t="inlineStr">
        <is>
          <t>Assinalar se o dia é válido para fazer avaliação</t>
        </is>
      </c>
    </row>
    <row r="2" ht="15.7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15.75" customHeight="1">
      <c r="A3" s="1" t="n"/>
      <c r="B3" s="7" t="inlineStr">
        <is>
          <t>Dom</t>
        </is>
      </c>
      <c r="D3" s="7" t="inlineStr">
        <is>
          <t>Seg</t>
        </is>
      </c>
      <c r="F3" s="7" t="inlineStr">
        <is>
          <t>Ter</t>
        </is>
      </c>
      <c r="H3" s="7" t="inlineStr">
        <is>
          <t>Qua</t>
        </is>
      </c>
      <c r="J3" s="7" t="inlineStr">
        <is>
          <t>Qui</t>
        </is>
      </c>
      <c r="L3" s="7" t="inlineStr">
        <is>
          <t>Sex</t>
        </is>
      </c>
      <c r="N3" s="7" t="inlineStr">
        <is>
          <t>Sáb</t>
        </is>
      </c>
    </row>
    <row r="4" ht="15.75" customHeight="1">
      <c r="A4" s="8">
        <f>IF(AND(('Critérios'!$E$2-WEEKDAY('Critérios'!$E$2,1)+1+6)&gt;='Critérios'!$E$2,('Critérios'!$E$2-WEEKDAY('Critérios'!$E$2,1)+1+0)&lt;='Critérios'!$F$2),TEXT(('Critérios'!$E$2-WEEKDAY('Critérios'!$E$2,1)+1+0),"mmm yyyy"),"")</f>
        <v/>
      </c>
      <c r="B4" s="9">
        <f>IF(AND(('Critérios'!$E$2-WEEKDAY('Critérios'!$E$2,1)+1+0)&gt;='Critérios'!$E$2,('Critérios'!$E$2-WEEKDAY('Critérios'!$E$2,1)+1+0)&lt;='Critérios'!$F$2),DAY(('Critérios'!$E$2-WEEKDAY('Critérios'!$E$2,1)+1+0)),"")</f>
        <v/>
      </c>
      <c r="C4" s="10" t="b">
        <v>0</v>
      </c>
      <c r="D4" s="11">
        <f>IF(AND(('Critérios'!$E$2-WEEKDAY('Critérios'!$E$2,1)+1+1)&gt;='Critérios'!$E$2,('Critérios'!$E$2-WEEKDAY('Critérios'!$E$2,1)+1+1)&lt;='Critérios'!$F$2),DAY(('Critérios'!$E$2-WEEKDAY('Critérios'!$E$2,1)+1+1)),"")</f>
        <v/>
      </c>
      <c r="E4" s="10" t="b">
        <v>1</v>
      </c>
      <c r="F4" s="11">
        <f>IF(AND(('Critérios'!$E$2-WEEKDAY('Critérios'!$E$2,1)+1+2)&gt;='Critérios'!$E$2,('Critérios'!$E$2-WEEKDAY('Critérios'!$E$2,1)+1+2)&lt;='Critérios'!$F$2),DAY(('Critérios'!$E$2-WEEKDAY('Critérios'!$E$2,1)+1+2)),"")</f>
        <v/>
      </c>
      <c r="G4" s="10" t="b">
        <v>1</v>
      </c>
      <c r="H4" s="11">
        <f>IF(AND(('Critérios'!$E$2-WEEKDAY('Critérios'!$E$2,1)+1+3)&gt;='Critérios'!$E$2,('Critérios'!$E$2-WEEKDAY('Critérios'!$E$2,1)+1+3)&lt;='Critérios'!$F$2),DAY(('Critérios'!$E$2-WEEKDAY('Critérios'!$E$2,1)+1+3)),"")</f>
        <v/>
      </c>
      <c r="I4" s="10" t="b">
        <v>1</v>
      </c>
      <c r="J4" s="11">
        <f>IF(AND(('Critérios'!$E$2-WEEKDAY('Critérios'!$E$2,1)+1+4)&gt;='Critérios'!$E$2,('Critérios'!$E$2-WEEKDAY('Critérios'!$E$2,1)+1+4)&lt;='Critérios'!$F$2),DAY(('Critérios'!$E$2-WEEKDAY('Critérios'!$E$2,1)+1+4)),"")</f>
        <v/>
      </c>
      <c r="K4" s="10" t="b">
        <v>1</v>
      </c>
      <c r="L4" s="11">
        <f>IF(AND(('Critérios'!$E$2-WEEKDAY('Critérios'!$E$2,1)+1+5)&gt;='Critérios'!$E$2,('Critérios'!$E$2-WEEKDAY('Critérios'!$E$2,1)+1+5)&lt;='Critérios'!$F$2),DAY(('Critérios'!$E$2-WEEKDAY('Critérios'!$E$2,1)+1+5)),"")</f>
        <v/>
      </c>
      <c r="M4" s="10" t="b">
        <v>1</v>
      </c>
      <c r="N4" s="11">
        <f>IF(AND(('Critérios'!$E$2-WEEKDAY('Critérios'!$E$2,1)+1+6)&gt;='Critérios'!$E$2,('Critérios'!$E$2-WEEKDAY('Critérios'!$E$2,1)+1+6)&lt;='Critérios'!$F$2),DAY(('Critérios'!$E$2-WEEKDAY('Critérios'!$E$2,1)+1+6)),"")</f>
        <v/>
      </c>
      <c r="O4" s="10" t="b">
        <v>0</v>
      </c>
    </row>
    <row r="5" ht="15.75" customHeight="1">
      <c r="A5" s="8">
        <f>IF(AND(('Critérios'!$E$2-WEEKDAY('Critérios'!$E$2,1)+1+13)&gt;='Critérios'!$E$2,('Critérios'!$E$2-WEEKDAY('Critérios'!$E$2,1)+1+7)&lt;='Critérios'!$F$2),TEXT(('Critérios'!$E$2-WEEKDAY('Critérios'!$E$2,1)+1+7),"mmm yy"),"")</f>
        <v/>
      </c>
      <c r="B5" s="11">
        <f>IF(AND(('Critérios'!$E$2-WEEKDAY('Critérios'!$E$2,1)+1+7)&gt;='Critérios'!$E$2,('Critérios'!$E$2-WEEKDAY('Critérios'!$E$2,1)+1+7)&lt;='Critérios'!$F$2),DAY(('Critérios'!$E$2-WEEKDAY('Critérios'!$E$2,1)+1+7)),"")</f>
        <v/>
      </c>
      <c r="C5" s="10" t="b">
        <v>0</v>
      </c>
      <c r="D5" s="11">
        <f>IF(AND(('Critérios'!$E$2-WEEKDAY('Critérios'!$E$2,1)+1+8)&gt;='Critérios'!$E$2,('Critérios'!$E$2-WEEKDAY('Critérios'!$E$2,1)+1+8)&lt;='Critérios'!$F$2),DAY(('Critérios'!$E$2-WEEKDAY('Critérios'!$E$2,1)+1+8)),"")</f>
        <v/>
      </c>
      <c r="E5" s="10" t="b">
        <v>1</v>
      </c>
      <c r="F5" s="11">
        <f>IF(AND(('Critérios'!$E$2-WEEKDAY('Critérios'!$E$2,1)+1+9)&gt;='Critérios'!$E$2,('Critérios'!$E$2-WEEKDAY('Critérios'!$E$2,1)+1+9)&lt;='Critérios'!$F$2),DAY(('Critérios'!$E$2-WEEKDAY('Critérios'!$E$2,1)+1+9)),"")</f>
        <v/>
      </c>
      <c r="G5" s="10" t="b">
        <v>1</v>
      </c>
      <c r="H5" s="11">
        <f>IF(AND(('Critérios'!$E$2-WEEKDAY('Critérios'!$E$2,1)+1+10)&gt;='Critérios'!$E$2,('Critérios'!$E$2-WEEKDAY('Critérios'!$E$2,1)+1+10)&lt;='Critérios'!$F$2),DAY(('Critérios'!$E$2-WEEKDAY('Critérios'!$E$2,1)+1+10)),"")</f>
        <v/>
      </c>
      <c r="I5" s="10" t="b">
        <v>1</v>
      </c>
      <c r="J5" s="11">
        <f>IF(AND(('Critérios'!$E$2-WEEKDAY('Critérios'!$E$2,1)+1+11)&gt;='Critérios'!$E$2,('Critérios'!$E$2-WEEKDAY('Critérios'!$E$2,1)+1+11)&lt;='Critérios'!$F$2),DAY(('Critérios'!$E$2-WEEKDAY('Critérios'!$E$2,1)+1+11)),"")</f>
        <v/>
      </c>
      <c r="K5" s="10" t="b">
        <v>1</v>
      </c>
      <c r="L5" s="11">
        <f>IF(AND(('Critérios'!$E$2-WEEKDAY('Critérios'!$E$2,1)+1+12)&gt;='Critérios'!$E$2,('Critérios'!$E$2-WEEKDAY('Critérios'!$E$2,1)+1+12)&lt;='Critérios'!$F$2),DAY(('Critérios'!$E$2-WEEKDAY('Critérios'!$E$2,1)+1+12)),"")</f>
        <v/>
      </c>
      <c r="M5" s="10" t="b">
        <v>1</v>
      </c>
      <c r="N5" s="11">
        <f>IF(AND(('Critérios'!$E$2-WEEKDAY('Critérios'!$E$2,1)+1+13)&gt;='Critérios'!$E$2,('Critérios'!$E$2-WEEKDAY('Critérios'!$E$2,1)+1+13)&lt;='Critérios'!$F$2),DAY(('Critérios'!$E$2-WEEKDAY('Critérios'!$E$2,1)+1+13)),"")</f>
        <v/>
      </c>
      <c r="O5" s="10" t="b">
        <v>0</v>
      </c>
    </row>
    <row r="6" ht="15.75" customHeight="1">
      <c r="A6" s="8">
        <f>IF(AND(('Critérios'!$E$2-WEEKDAY('Critérios'!$E$2,1)+1+20)&gt;='Critérios'!$E$2,('Critérios'!$E$2-WEEKDAY('Critérios'!$E$2,1)+1+14)&lt;='Critérios'!$F$2),TEXT(('Critérios'!$E$2-WEEKDAY('Critérios'!$E$2,1)+1+14),"mmm yy"),"")</f>
        <v/>
      </c>
      <c r="B6" s="11">
        <f>IF(AND(('Critérios'!$E$2-WEEKDAY('Critérios'!$E$2,1)+1+14)&gt;='Critérios'!$E$2,('Critérios'!$E$2-WEEKDAY('Critérios'!$E$2,1)+1+14)&lt;='Critérios'!$F$2),DAY(('Critérios'!$E$2-WEEKDAY('Critérios'!$E$2,1)+1+14)),"")</f>
        <v/>
      </c>
      <c r="C6" s="10" t="b">
        <v>0</v>
      </c>
      <c r="D6" s="11">
        <f>IF(AND(('Critérios'!$E$2-WEEKDAY('Critérios'!$E$2,1)+1+15)&gt;='Critérios'!$E$2,('Critérios'!$E$2-WEEKDAY('Critérios'!$E$2,1)+1+15)&lt;='Critérios'!$F$2),DAY(('Critérios'!$E$2-WEEKDAY('Critérios'!$E$2,1)+1+15)),"")</f>
        <v/>
      </c>
      <c r="E6" s="10" t="b">
        <v>1</v>
      </c>
      <c r="F6" s="11">
        <f>IF(AND(('Critérios'!$E$2-WEEKDAY('Critérios'!$E$2,1)+1+16)&gt;='Critérios'!$E$2,('Critérios'!$E$2-WEEKDAY('Critérios'!$E$2,1)+1+16)&lt;='Critérios'!$F$2),DAY(('Critérios'!$E$2-WEEKDAY('Critérios'!$E$2,1)+1+16)),"")</f>
        <v/>
      </c>
      <c r="G6" s="10" t="b">
        <v>1</v>
      </c>
      <c r="H6" s="11">
        <f>IF(AND(('Critérios'!$E$2-WEEKDAY('Critérios'!$E$2,1)+1+17)&gt;='Critérios'!$E$2,('Critérios'!$E$2-WEEKDAY('Critérios'!$E$2,1)+1+17)&lt;='Critérios'!$F$2),DAY(('Critérios'!$E$2-WEEKDAY('Critérios'!$E$2,1)+1+17)),"")</f>
        <v/>
      </c>
      <c r="I6" s="10" t="b">
        <v>1</v>
      </c>
      <c r="J6" s="11">
        <f>IF(AND(('Critérios'!$E$2-WEEKDAY('Critérios'!$E$2,1)+1+18)&gt;='Critérios'!$E$2,('Critérios'!$E$2-WEEKDAY('Critérios'!$E$2,1)+1+18)&lt;='Critérios'!$F$2),DAY(('Critérios'!$E$2-WEEKDAY('Critérios'!$E$2,1)+1+18)),"")</f>
        <v/>
      </c>
      <c r="K6" s="10" t="b">
        <v>1</v>
      </c>
      <c r="L6" s="11">
        <f>IF(AND(('Critérios'!$E$2-WEEKDAY('Critérios'!$E$2,1)+1+19)&gt;='Critérios'!$E$2,('Critérios'!$E$2-WEEKDAY('Critérios'!$E$2,1)+1+19)&lt;='Critérios'!$F$2),DAY(('Critérios'!$E$2-WEEKDAY('Critérios'!$E$2,1)+1+19)),"")</f>
        <v/>
      </c>
      <c r="M6" s="10" t="b">
        <v>1</v>
      </c>
      <c r="N6" s="11">
        <f>IF(AND(('Critérios'!$E$2-WEEKDAY('Critérios'!$E$2,1)+1+20)&gt;='Critérios'!$E$2,('Critérios'!$E$2-WEEKDAY('Critérios'!$E$2,1)+1+20)&lt;='Critérios'!$F$2),DAY(('Critérios'!$E$2-WEEKDAY('Critérios'!$E$2,1)+1+20)),"")</f>
        <v/>
      </c>
      <c r="O6" s="10" t="b">
        <v>0</v>
      </c>
    </row>
    <row r="7" ht="15.75" customHeight="1">
      <c r="A7" s="8">
        <f>IF(AND(('Critérios'!$E$2-WEEKDAY('Critérios'!$E$2,1)+1+27)&gt;='Critérios'!$E$2,('Critérios'!$E$2-WEEKDAY('Critérios'!$E$2,1)+1+21)&lt;='Critérios'!$F$2),TEXT(('Critérios'!$E$2-WEEKDAY('Critérios'!$E$2,1)+1+21),"mmm yy"),"")</f>
        <v/>
      </c>
      <c r="B7" s="11">
        <f>IF(AND(('Critérios'!$E$2-WEEKDAY('Critérios'!$E$2,1)+1+21)&gt;='Critérios'!$E$2,('Critérios'!$E$2-WEEKDAY('Critérios'!$E$2,1)+1+21)&lt;='Critérios'!$F$2),DAY(('Critérios'!$E$2-WEEKDAY('Critérios'!$E$2,1)+1+21)),"")</f>
        <v/>
      </c>
      <c r="C7" s="10" t="b">
        <v>0</v>
      </c>
      <c r="D7" s="11">
        <f>IF(AND(('Critérios'!$E$2-WEEKDAY('Critérios'!$E$2,1)+1+22)&gt;='Critérios'!$E$2,('Critérios'!$E$2-WEEKDAY('Critérios'!$E$2,1)+1+22)&lt;='Critérios'!$F$2),DAY(('Critérios'!$E$2-WEEKDAY('Critérios'!$E$2,1)+1+22)),"")</f>
        <v/>
      </c>
      <c r="E7" s="10" t="b">
        <v>1</v>
      </c>
      <c r="F7" s="11">
        <f>IF(AND(('Critérios'!$E$2-WEEKDAY('Critérios'!$E$2,1)+1+23)&gt;='Critérios'!$E$2,('Critérios'!$E$2-WEEKDAY('Critérios'!$E$2,1)+1+23)&lt;='Critérios'!$F$2),DAY(('Critérios'!$E$2-WEEKDAY('Critérios'!$E$2,1)+1+23)),"")</f>
        <v/>
      </c>
      <c r="G7" s="10" t="b">
        <v>1</v>
      </c>
      <c r="H7" s="11">
        <f>IF(AND(('Critérios'!$E$2-WEEKDAY('Critérios'!$E$2,1)+1+24)&gt;='Critérios'!$E$2,('Critérios'!$E$2-WEEKDAY('Critérios'!$E$2,1)+1+24)&lt;='Critérios'!$F$2),DAY(('Critérios'!$E$2-WEEKDAY('Critérios'!$E$2,1)+1+24)),"")</f>
        <v/>
      </c>
      <c r="I7" s="10" t="b">
        <v>1</v>
      </c>
      <c r="J7" s="11">
        <f>IF(AND(('Critérios'!$E$2-WEEKDAY('Critérios'!$E$2,1)+1+25)&gt;='Critérios'!$E$2,('Critérios'!$E$2-WEEKDAY('Critérios'!$E$2,1)+1+25)&lt;='Critérios'!$F$2),DAY(('Critérios'!$E$2-WEEKDAY('Critérios'!$E$2,1)+1+25)),"")</f>
        <v/>
      </c>
      <c r="K7" s="10" t="b">
        <v>1</v>
      </c>
      <c r="L7" s="11">
        <f>IF(AND(('Critérios'!$E$2-WEEKDAY('Critérios'!$E$2,1)+1+26)&gt;='Critérios'!$E$2,('Critérios'!$E$2-WEEKDAY('Critérios'!$E$2,1)+1+26)&lt;='Critérios'!$F$2),DAY(('Critérios'!$E$2-WEEKDAY('Critérios'!$E$2,1)+1+26)),"")</f>
        <v/>
      </c>
      <c r="M7" s="10" t="b">
        <v>1</v>
      </c>
      <c r="N7" s="11">
        <f>IF(AND(('Critérios'!$E$2-WEEKDAY('Critérios'!$E$2,1)+1+27)&gt;='Critérios'!$E$2,('Critérios'!$E$2-WEEKDAY('Critérios'!$E$2,1)+1+27)&lt;='Critérios'!$F$2),DAY(('Critérios'!$E$2-WEEKDAY('Critérios'!$E$2,1)+1+27)),"")</f>
        <v/>
      </c>
      <c r="O7" s="10" t="b">
        <v>0</v>
      </c>
    </row>
    <row r="8" ht="15.75" customHeight="1">
      <c r="A8" s="8">
        <f>IF(AND(('Critérios'!$E$2-WEEKDAY('Critérios'!$E$2,1)+1+34)&gt;='Critérios'!$E$2,('Critérios'!$E$2-WEEKDAY('Critérios'!$E$2,1)+1+28)&lt;='Critérios'!$F$2),TEXT(('Critérios'!$E$2-WEEKDAY('Critérios'!$E$2,1)+1+28),"mmm yy"),"")</f>
        <v/>
      </c>
      <c r="B8" s="11">
        <f>IF(AND(('Critérios'!$E$2-WEEKDAY('Critérios'!$E$2,1)+1+28)&gt;='Critérios'!$E$2,('Critérios'!$E$2-WEEKDAY('Critérios'!$E$2,1)+1+28)&lt;='Critérios'!$F$2),DAY(('Critérios'!$E$2-WEEKDAY('Critérios'!$E$2,1)+1+28)),"")</f>
        <v/>
      </c>
      <c r="C8" s="10" t="b">
        <v>0</v>
      </c>
      <c r="D8" s="11">
        <f>IF(AND(('Critérios'!$E$2-WEEKDAY('Critérios'!$E$2,1)+1+29)&gt;='Critérios'!$E$2,('Critérios'!$E$2-WEEKDAY('Critérios'!$E$2,1)+1+29)&lt;='Critérios'!$F$2),DAY(('Critérios'!$E$2-WEEKDAY('Critérios'!$E$2,1)+1+29)),"")</f>
        <v/>
      </c>
      <c r="E8" s="10" t="b">
        <v>1</v>
      </c>
      <c r="F8" s="11">
        <f>IF(AND(('Critérios'!$E$2-WEEKDAY('Critérios'!$E$2,1)+1+30)&gt;='Critérios'!$E$2,('Critérios'!$E$2-WEEKDAY('Critérios'!$E$2,1)+1+30)&lt;='Critérios'!$F$2),DAY(('Critérios'!$E$2-WEEKDAY('Critérios'!$E$2,1)+1+30)),"")</f>
        <v/>
      </c>
      <c r="G8" s="10" t="b">
        <v>1</v>
      </c>
      <c r="H8" s="11">
        <f>IF(AND(('Critérios'!$E$2-WEEKDAY('Critérios'!$E$2,1)+1+31)&gt;='Critérios'!$E$2,('Critérios'!$E$2-WEEKDAY('Critérios'!$E$2,1)+1+31)&lt;='Critérios'!$F$2),DAY(('Critérios'!$E$2-WEEKDAY('Critérios'!$E$2,1)+1+31)),"")</f>
        <v/>
      </c>
      <c r="I8" s="10" t="b">
        <v>1</v>
      </c>
      <c r="J8" s="11">
        <f>IF(AND(('Critérios'!$E$2-WEEKDAY('Critérios'!$E$2,1)+1+32)&gt;='Critérios'!$E$2,('Critérios'!$E$2-WEEKDAY('Critérios'!$E$2,1)+1+32)&lt;='Critérios'!$F$2),DAY(('Critérios'!$E$2-WEEKDAY('Critérios'!$E$2,1)+1+32)),"")</f>
        <v/>
      </c>
      <c r="K8" s="10" t="b">
        <v>1</v>
      </c>
      <c r="L8" s="11">
        <f>IF(AND(('Critérios'!$E$2-WEEKDAY('Critérios'!$E$2,1)+1+33)&gt;='Critérios'!$E$2,('Critérios'!$E$2-WEEKDAY('Critérios'!$E$2,1)+1+33)&lt;='Critérios'!$F$2),DAY(('Critérios'!$E$2-WEEKDAY('Critérios'!$E$2,1)+1+33)),"")</f>
        <v/>
      </c>
      <c r="M8" s="10" t="b">
        <v>1</v>
      </c>
      <c r="N8" s="11">
        <f>IF(AND(('Critérios'!$E$2-WEEKDAY('Critérios'!$E$2,1)+1+34)&gt;='Critérios'!$E$2,('Critérios'!$E$2-WEEKDAY('Critérios'!$E$2,1)+1+34)&lt;='Critérios'!$F$2),DAY(('Critérios'!$E$2-WEEKDAY('Critérios'!$E$2,1)+1+34)),"")</f>
        <v/>
      </c>
      <c r="O8" s="10" t="b">
        <v>0</v>
      </c>
    </row>
    <row r="9" ht="15.75" customHeight="1">
      <c r="A9" s="8">
        <f>IF(AND(('Critérios'!$E$2-WEEKDAY('Critérios'!$E$2,1)+1+41)&gt;='Critérios'!$E$2,('Critérios'!$E$2-WEEKDAY('Critérios'!$E$2,1)+1+35)&lt;='Critérios'!$F$2),TEXT(('Critérios'!$E$2-WEEKDAY('Critérios'!$E$2,1)+1+35),"mmm yy"),"")</f>
        <v/>
      </c>
      <c r="B9" s="11">
        <f>IF(AND(('Critérios'!$E$2-WEEKDAY('Critérios'!$E$2,1)+1+35)&gt;='Critérios'!$E$2,('Critérios'!$E$2-WEEKDAY('Critérios'!$E$2,1)+1+35)&lt;='Critérios'!$F$2),DAY(('Critérios'!$E$2-WEEKDAY('Critérios'!$E$2,1)+1+35)),"")</f>
        <v/>
      </c>
      <c r="C9" s="10" t="b">
        <v>0</v>
      </c>
      <c r="D9" s="11">
        <f>IF(AND(('Critérios'!$E$2-WEEKDAY('Critérios'!$E$2,1)+1+36)&gt;='Critérios'!$E$2,('Critérios'!$E$2-WEEKDAY('Critérios'!$E$2,1)+1+36)&lt;='Critérios'!$F$2),DAY(('Critérios'!$E$2-WEEKDAY('Critérios'!$E$2,1)+1+36)),"")</f>
        <v/>
      </c>
      <c r="E9" s="10" t="b">
        <v>1</v>
      </c>
      <c r="F9" s="11">
        <f>IF(AND(('Critérios'!$E$2-WEEKDAY('Critérios'!$E$2,1)+1+37)&gt;='Critérios'!$E$2,('Critérios'!$E$2-WEEKDAY('Critérios'!$E$2,1)+1+37)&lt;='Critérios'!$F$2),DAY(('Critérios'!$E$2-WEEKDAY('Critérios'!$E$2,1)+1+37)),"")</f>
        <v/>
      </c>
      <c r="G9" s="10" t="b">
        <v>1</v>
      </c>
      <c r="H9" s="11">
        <f>IF(AND(('Critérios'!$E$2-WEEKDAY('Critérios'!$E$2,1)+1+38)&gt;='Critérios'!$E$2,('Critérios'!$E$2-WEEKDAY('Critérios'!$E$2,1)+1+38)&lt;='Critérios'!$F$2),DAY(('Critérios'!$E$2-WEEKDAY('Critérios'!$E$2,1)+1+38)),"")</f>
        <v/>
      </c>
      <c r="I9" s="10" t="b">
        <v>1</v>
      </c>
      <c r="J9" s="11">
        <f>IF(AND(('Critérios'!$E$2-WEEKDAY('Critérios'!$E$2,1)+1+39)&gt;='Critérios'!$E$2,('Critérios'!$E$2-WEEKDAY('Critérios'!$E$2,1)+1+39)&lt;='Critérios'!$F$2),DAY(('Critérios'!$E$2-WEEKDAY('Critérios'!$E$2,1)+1+39)),"")</f>
        <v/>
      </c>
      <c r="K9" s="10" t="b">
        <v>1</v>
      </c>
      <c r="L9" s="11">
        <f>IF(AND(('Critérios'!$E$2-WEEKDAY('Critérios'!$E$2,1)+1+40)&gt;='Critérios'!$E$2,('Critérios'!$E$2-WEEKDAY('Critérios'!$E$2,1)+1+40)&lt;='Critérios'!$F$2),DAY(('Critérios'!$E$2-WEEKDAY('Critérios'!$E$2,1)+1+40)),"")</f>
        <v/>
      </c>
      <c r="M9" s="10" t="b">
        <v>1</v>
      </c>
      <c r="N9" s="11">
        <f>IF(AND(('Critérios'!$E$2-WEEKDAY('Critérios'!$E$2,1)+1+41)&gt;='Critérios'!$E$2,('Critérios'!$E$2-WEEKDAY('Critérios'!$E$2,1)+1+41)&lt;='Critérios'!$F$2),DAY(('Critérios'!$E$2-WEEKDAY('Critérios'!$E$2,1)+1+41)),"")</f>
        <v/>
      </c>
      <c r="O9" s="10" t="b">
        <v>0</v>
      </c>
    </row>
    <row r="10" ht="15.75" customHeight="1">
      <c r="A10" s="8">
        <f>IF(AND(('Critérios'!$E$2-WEEKDAY('Critérios'!$E$2,1)+1+48)&gt;='Critérios'!$E$2,('Critérios'!$E$2-WEEKDAY('Critérios'!$E$2,1)+1+42)&lt;='Critérios'!$F$2),TEXT(('Critérios'!$E$2-WEEKDAY('Critérios'!$E$2,1)+1+42),"mmm yy"),"")</f>
        <v/>
      </c>
      <c r="B10" s="11">
        <f>IF(AND(('Critérios'!$E$2-WEEKDAY('Critérios'!$E$2,1)+1+42)&gt;='Critérios'!$E$2,('Critérios'!$E$2-WEEKDAY('Critérios'!$E$2,1)+1+42)&lt;='Critérios'!$F$2),DAY(('Critérios'!$E$2-WEEKDAY('Critérios'!$E$2,1)+1+42)),"")</f>
        <v/>
      </c>
      <c r="C10" s="10" t="b">
        <v>0</v>
      </c>
      <c r="D10" s="11">
        <f>IF(AND(('Critérios'!$E$2-WEEKDAY('Critérios'!$E$2,1)+1+43)&gt;='Critérios'!$E$2,('Critérios'!$E$2-WEEKDAY('Critérios'!$E$2,1)+1+43)&lt;='Critérios'!$F$2),DAY(('Critérios'!$E$2-WEEKDAY('Critérios'!$E$2,1)+1+43)),"")</f>
        <v/>
      </c>
      <c r="E10" s="10" t="b">
        <v>0</v>
      </c>
      <c r="F10" s="11">
        <f>IF(AND(('Critérios'!$E$2-WEEKDAY('Critérios'!$E$2,1)+1+44)&gt;='Critérios'!$E$2,('Critérios'!$E$2-WEEKDAY('Critérios'!$E$2,1)+1+44)&lt;='Critérios'!$F$2),DAY(('Critérios'!$E$2-WEEKDAY('Critérios'!$E$2,1)+1+44)),"")</f>
        <v/>
      </c>
      <c r="G10" s="10" t="b">
        <v>0</v>
      </c>
      <c r="H10" s="11">
        <f>IF(AND(('Critérios'!$E$2-WEEKDAY('Critérios'!$E$2,1)+1+45)&gt;='Critérios'!$E$2,('Critérios'!$E$2-WEEKDAY('Critérios'!$E$2,1)+1+45)&lt;='Critérios'!$F$2),DAY(('Critérios'!$E$2-WEEKDAY('Critérios'!$E$2,1)+1+45)),"")</f>
        <v/>
      </c>
      <c r="I10" s="10" t="b">
        <v>0</v>
      </c>
      <c r="J10" s="11">
        <f>IF(AND(('Critérios'!$E$2-WEEKDAY('Critérios'!$E$2,1)+1+46)&gt;='Critérios'!$E$2,('Critérios'!$E$2-WEEKDAY('Critérios'!$E$2,1)+1+46)&lt;='Critérios'!$F$2),DAY(('Critérios'!$E$2-WEEKDAY('Critérios'!$E$2,1)+1+46)),"")</f>
        <v/>
      </c>
      <c r="K10" s="10" t="b">
        <v>0</v>
      </c>
      <c r="L10" s="11">
        <f>IF(AND(('Critérios'!$E$2-WEEKDAY('Critérios'!$E$2,1)+1+47)&gt;='Critérios'!$E$2,('Critérios'!$E$2-WEEKDAY('Critérios'!$E$2,1)+1+47)&lt;='Critérios'!$F$2),DAY(('Critérios'!$E$2-WEEKDAY('Critérios'!$E$2,1)+1+47)),"")</f>
        <v/>
      </c>
      <c r="M10" s="10" t="b">
        <v>0</v>
      </c>
      <c r="N10" s="11">
        <f>IF(AND(('Critérios'!$E$2-WEEKDAY('Critérios'!$E$2,1)+1+48)&gt;='Critérios'!$E$2,('Critérios'!$E$2-WEEKDAY('Critérios'!$E$2,1)+1+48)&lt;='Critérios'!$F$2),DAY(('Critérios'!$E$2-WEEKDAY('Critérios'!$E$2,1)+1+48)),"")</f>
        <v/>
      </c>
      <c r="O10" s="10" t="b">
        <v>0</v>
      </c>
    </row>
    <row r="11" ht="15.75" customHeight="1">
      <c r="A11" s="8">
        <f>IF(AND(('Critérios'!$E$2-WEEKDAY('Critérios'!$E$2,1)+1+55)&gt;='Critérios'!$E$2,('Critérios'!$E$2-WEEKDAY('Critérios'!$E$2,1)+1+49)&lt;='Critérios'!$F$2),TEXT(('Critérios'!$E$2-WEEKDAY('Critérios'!$E$2,1)+1+49),"mmm yy"),"")</f>
        <v/>
      </c>
      <c r="B11" s="11">
        <f>IF(AND(('Critérios'!$E$2-WEEKDAY('Critérios'!$E$2,1)+1+49)&gt;='Critérios'!$E$2,('Critérios'!$E$2-WEEKDAY('Critérios'!$E$2,1)+1+49)&lt;='Critérios'!$F$2),DAY(('Critérios'!$E$2-WEEKDAY('Critérios'!$E$2,1)+1+49)),"")</f>
        <v/>
      </c>
      <c r="C11" s="10" t="b">
        <v>0</v>
      </c>
      <c r="D11" s="11">
        <f>IF(AND(('Critérios'!$E$2-WEEKDAY('Critérios'!$E$2,1)+1+50)&gt;='Critérios'!$E$2,('Critérios'!$E$2-WEEKDAY('Critérios'!$E$2,1)+1+50)&lt;='Critérios'!$F$2),DAY(('Critérios'!$E$2-WEEKDAY('Critérios'!$E$2,1)+1+50)),"")</f>
        <v/>
      </c>
      <c r="E11" s="10" t="b">
        <v>0</v>
      </c>
      <c r="F11" s="11">
        <f>IF(AND(('Critérios'!$E$2-WEEKDAY('Critérios'!$E$2,1)+1+51)&gt;='Critérios'!$E$2,('Critérios'!$E$2-WEEKDAY('Critérios'!$E$2,1)+1+51)&lt;='Critérios'!$F$2),DAY(('Critérios'!$E$2-WEEKDAY('Critérios'!$E$2,1)+1+51)),"")</f>
        <v/>
      </c>
      <c r="G11" s="10" t="b">
        <v>0</v>
      </c>
      <c r="H11" s="11">
        <f>IF(AND(('Critérios'!$E$2-WEEKDAY('Critérios'!$E$2,1)+1+52)&gt;='Critérios'!$E$2,('Critérios'!$E$2-WEEKDAY('Critérios'!$E$2,1)+1+52)&lt;='Critérios'!$F$2),DAY(('Critérios'!$E$2-WEEKDAY('Critérios'!$E$2,1)+1+52)),"")</f>
        <v/>
      </c>
      <c r="I11" s="10" t="b">
        <v>0</v>
      </c>
      <c r="J11" s="11">
        <f>IF(AND(('Critérios'!$E$2-WEEKDAY('Critérios'!$E$2,1)+1+53)&gt;='Critérios'!$E$2,('Critérios'!$E$2-WEEKDAY('Critérios'!$E$2,1)+1+53)&lt;='Critérios'!$F$2),DAY(('Critérios'!$E$2-WEEKDAY('Critérios'!$E$2,1)+1+53)),"")</f>
        <v/>
      </c>
      <c r="K11" s="10" t="b">
        <v>0</v>
      </c>
      <c r="L11" s="11">
        <f>IF(AND(('Critérios'!$E$2-WEEKDAY('Critérios'!$E$2,1)+1+54)&gt;='Critérios'!$E$2,('Critérios'!$E$2-WEEKDAY('Critérios'!$E$2,1)+1+54)&lt;='Critérios'!$F$2),DAY(('Critérios'!$E$2-WEEKDAY('Critérios'!$E$2,1)+1+54)),"")</f>
        <v/>
      </c>
      <c r="M11" s="10" t="b">
        <v>0</v>
      </c>
      <c r="N11" s="11">
        <f>IF(AND(('Critérios'!$E$2-WEEKDAY('Critérios'!$E$2,1)+1+55)&gt;='Critérios'!$E$2,('Critérios'!$E$2-WEEKDAY('Critérios'!$E$2,1)+1+55)&lt;='Critérios'!$F$2),DAY(('Critérios'!$E$2-WEEKDAY('Critérios'!$E$2,1)+1+55)),"")</f>
        <v/>
      </c>
      <c r="O11" s="10" t="b">
        <v>0</v>
      </c>
    </row>
    <row r="12" ht="15.7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15.7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15.7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15.7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15.7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15.7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15.7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15.7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15.7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15.7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5.7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5.7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 ht="15.7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 ht="15.7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 ht="15.7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15.7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 ht="15.7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 ht="15.7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 ht="15.7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 ht="15.7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 ht="15.7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 ht="15.7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15.7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 ht="15.7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15.7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 ht="15.7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 ht="15.7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15.7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 ht="15.7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 ht="15.7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 ht="15.7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 ht="15.7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 ht="15.7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t="15.7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 ht="15.7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 ht="15.7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 ht="15.7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5.7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t="15.7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 ht="15.7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 ht="15.7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 ht="15.7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 ht="15.7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 ht="15.7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 ht="15.7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 ht="15.7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 ht="15.7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 ht="15.7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 ht="15.7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 ht="15.7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 ht="15.7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 ht="15.7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 ht="15.7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 ht="15.7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 ht="15.7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 ht="15.7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 ht="15.7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 ht="15.7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 ht="15.7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 ht="15.7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 ht="15.7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 ht="15.7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 ht="15.7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 ht="15.7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 ht="15.7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 ht="15.7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 ht="15.7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 ht="15.7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 ht="15.7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 ht="15.7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 ht="15.7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 ht="15.7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15.7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 ht="15.7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 ht="15.7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15.7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 ht="15.7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 ht="15.7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15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 ht="15.7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 ht="15.7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 ht="15.7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 ht="15.7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 ht="15.7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 ht="15.7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 ht="15.7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 ht="15.7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 ht="15.7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 ht="15.7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 ht="15.7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 ht="15.7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 ht="15.7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 ht="15.7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 ht="15.7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 ht="15.7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 ht="15.7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 ht="15.7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 ht="15.7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 ht="15.7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 ht="15.7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 ht="15.7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 ht="15.7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 ht="15.7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 ht="15.7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 ht="15.7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 ht="15.7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 ht="15.7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 ht="15.7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 ht="15.7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 ht="15.7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 ht="15.7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 ht="15.7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 ht="15.7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 ht="15.7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 ht="15.7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 ht="15.7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 ht="15.7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 ht="15.7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 ht="15.7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 ht="15.7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 ht="15.7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 ht="15.7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 ht="15.7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 ht="15.7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 ht="15.7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 ht="15.7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 ht="15.7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 ht="15.7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 ht="15.7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 ht="15.7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 ht="15.7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 ht="15.7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 ht="15.7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 ht="15.7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 ht="15.7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 ht="15.7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 ht="15.7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 ht="15.7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 ht="15.7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 ht="15.7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 ht="15.7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 ht="15.7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 ht="15.7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 ht="15.7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 ht="15.7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 ht="15.7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 ht="15.7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 ht="15.7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 ht="15.7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 ht="15.7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 ht="15.7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 ht="15.7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 ht="15.7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 ht="15.7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 ht="15.7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 ht="15.7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 ht="15.7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 ht="15.7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 ht="15.7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 ht="15.7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 ht="15.7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 ht="15.7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 ht="15.7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 ht="15.7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 ht="15.7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 ht="15.7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 ht="15.7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 ht="15.7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 ht="15.7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 ht="15.7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 ht="15.7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 ht="15.7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 ht="15.7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 ht="15.7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 ht="15.7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 ht="15.7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 ht="15.7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 ht="15.7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 ht="15.7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 ht="15.7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 ht="15.7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 ht="15.7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 ht="15.7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 ht="15.7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 ht="15.7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 ht="15.7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 ht="15.7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 ht="15.7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 ht="15.7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 ht="15.7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 ht="15.7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 ht="15.7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 ht="15.7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 ht="15.7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 ht="15.7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 ht="15.7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 ht="15.7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 ht="15.7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 ht="15.7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 ht="15.7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 ht="15.7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 ht="15.7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 ht="15.7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 ht="15.7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 ht="15.7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 ht="15.7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 ht="15.7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 ht="15.7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 ht="15.7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 ht="15.7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 ht="15.7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 ht="15.7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 ht="15.7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 ht="15.75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 ht="15.75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 ht="15.75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 ht="15.75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 ht="15.75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 ht="15.75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 ht="15.75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 ht="15.75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 ht="15.75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 ht="15.75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 ht="15.75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 ht="15.75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 ht="15.75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 ht="15.75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 ht="15.75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 ht="15.75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 ht="15.75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 ht="15.75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 ht="15.75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 ht="15.75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 ht="15.75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 ht="15.75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 ht="15.75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 ht="15.75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 ht="15.75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 ht="15.75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 ht="15.75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 ht="15.75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 ht="15.75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 ht="15.75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 ht="15.75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 ht="15.75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 ht="15.75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 ht="15.75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 ht="15.75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 ht="15.75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 ht="15.75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 ht="15.75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 ht="15.75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 ht="15.75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 ht="15.75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 ht="15.75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 ht="15.75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 ht="15.75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 ht="15.75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 ht="15.75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 ht="15.75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 ht="15.75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 ht="15.75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 ht="15.75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 ht="15.75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 ht="15.75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 ht="15.75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 ht="15.75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 ht="15.75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 ht="15.75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 ht="15.75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 ht="15.75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 ht="15.75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 ht="15.75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 ht="15.75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 ht="15.75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 ht="15.75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 ht="15.75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 ht="15.75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 ht="15.75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 ht="15.75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 ht="15.75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 ht="15.75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 ht="15.75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 ht="15.75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 ht="15.75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 ht="15.75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 ht="15.75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 ht="15.75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 ht="15.75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 ht="15.75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 ht="15.75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 ht="15.75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 ht="15.75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 ht="15.75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 ht="15.75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 ht="15.75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 ht="15.75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 ht="15.75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 ht="15.75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 ht="15.75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 ht="15.75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 ht="15.75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 ht="15.75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 ht="15.75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 ht="15.75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 ht="15.75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 ht="15.75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 ht="15.75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 ht="15.75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 ht="15.75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 ht="15.75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 ht="15.75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 ht="15.75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 ht="15.75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 ht="15.75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 ht="15.75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 ht="15.75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 ht="15.75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 ht="15.75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 ht="15.75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 ht="15.75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 ht="15.75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 ht="15.75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 ht="15.75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 ht="15.75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 ht="15.75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 ht="15.75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 ht="15.75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 ht="15.75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 ht="15.75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 ht="15.75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 ht="15.75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 ht="15.75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 ht="15.75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 ht="15.75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 ht="15.75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 ht="15.75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 ht="15.75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 ht="15.75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 ht="15.75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 ht="15.75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 ht="15.75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 ht="15.75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 ht="15.75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 ht="15.75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 ht="15.75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 ht="15.75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 ht="15.75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 ht="15.75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 ht="15.75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 ht="15.75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 ht="15.75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 ht="15.75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 ht="15.75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 ht="15.75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 ht="15.75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 ht="15.75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 ht="15.75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 ht="15.75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 ht="15.75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 ht="15.75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 ht="15.75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 ht="15.75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 ht="15.75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 ht="15.75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 ht="15.75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 ht="15.75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 ht="15.75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 ht="15.75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 ht="15.75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 ht="15.75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 ht="15.75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 ht="15.75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 ht="15.75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 ht="15.75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 ht="15.75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 ht="15.75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 ht="15.75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 ht="15.75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 ht="15.75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 ht="15.75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 ht="15.75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 ht="15.75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 ht="15.75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 ht="15.75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 ht="15.75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 ht="15.75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 ht="15.75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 ht="15.75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 ht="15.75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 ht="15.75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 ht="15.75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 ht="15.75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 ht="15.75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 ht="15.75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 ht="15.75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 ht="15.75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 ht="15.75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 ht="15.75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 ht="15.75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 ht="15.75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 ht="15.75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 ht="15.75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 ht="15.75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 ht="15.75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 ht="15.75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 ht="15.75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 ht="15.75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 ht="15.75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 ht="15.75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 ht="15.75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 ht="15.75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 ht="15.75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 ht="15.75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 ht="15.75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 ht="15.75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 ht="15.75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 ht="15.75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 ht="15.75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 ht="15.75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 ht="15.75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 ht="15.75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 ht="15.75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 ht="15.75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 ht="15.75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 ht="15.75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 ht="15.75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 ht="15.75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 ht="15.75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 ht="15.75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 ht="15.75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 ht="15.75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 ht="15.75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 ht="15.75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 ht="15.75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 ht="15.75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 ht="15.75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 ht="15.75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 ht="15.75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 ht="15.75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 ht="15.75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 ht="15.75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 ht="15.75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 ht="15.75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 ht="15.75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 ht="15.75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 ht="15.75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 ht="15.75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 ht="15.75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 ht="15.75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 ht="15.75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 ht="15.75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 ht="15.75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 ht="15.75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 ht="15.75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 ht="15.75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 ht="15.75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 ht="15.75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 ht="15.75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 ht="15.75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 ht="15.75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 ht="15.75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 ht="15.75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 ht="15.75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 ht="15.75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 ht="15.75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 ht="15.75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 ht="15.75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 ht="15.75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 ht="15.75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 ht="15.75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 ht="15.75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 ht="15.75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 ht="15.75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 ht="15.75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 ht="15.75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 ht="15.75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 ht="15.75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 ht="15.75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 ht="15.75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 ht="15.75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 ht="15.75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 ht="15.75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 ht="15.75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 ht="15.75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 ht="15.75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 ht="15.75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 ht="15.75" customHeight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 ht="15.75" customHeigh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 ht="15.75" customHeigh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 ht="15.75" customHeight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 ht="15.75" customHeigh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 ht="15.75" customHeigh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 ht="15.75" customHeight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 ht="15.75" customHeigh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 ht="15.75" customHeigh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 ht="15.75" customHeight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 ht="15.75" customHeigh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 ht="15.75" customHeigh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 ht="15.75" customHeight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 ht="15.75" customHeigh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 ht="15.75" customHeigh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 ht="15.75" customHeight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 ht="15.75" customHeigh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 ht="15.75" customHeigh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 ht="15.75" customHeight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 ht="15.75" customHeigh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 ht="15.75" customHeigh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 ht="15.75" customHeight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 ht="15.75" customHeigh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 ht="15.75" customHeigh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 ht="15.75" customHeight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 ht="15.75" customHeigh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 ht="15.75" customHeigh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 ht="15.75" customHeight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 ht="15.75" customHeigh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 ht="15.75" customHeigh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 ht="15.75" customHeight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 ht="15.75" customHeigh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 ht="15.75" customHeigh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 ht="15.75" customHeight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 ht="15.75" customHeigh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 ht="15.75" customHeigh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 ht="15.75" customHeight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 ht="15.75" customHeigh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 ht="15.75" customHeigh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 ht="15.75" customHeight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 ht="15.75" customHeigh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 ht="15.75" customHeigh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 ht="15.75" customHeight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 ht="15.75" customHeigh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 ht="15.75" customHeigh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 ht="15.75" customHeight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 ht="15.75" customHeigh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 ht="15.75" customHeigh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 ht="15.75" customHeight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 ht="15.75" customHeigh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 ht="15.75" customHeigh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 ht="15.75" customHeight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 ht="15.75" customHeigh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 ht="15.75" customHeigh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 ht="15.75" customHeight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 ht="15.75" customHeigh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 ht="15.75" customHeigh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 ht="15.75" customHeight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 ht="15.75" customHeigh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 ht="15.75" customHeigh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 ht="15.75" customHeight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 ht="15.75" customHeigh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 ht="15.75" customHeigh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 ht="15.75" customHeight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 ht="15.75" customHeigh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 ht="15.75" customHeigh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 ht="15.75" customHeight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 ht="15.75" customHeigh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 ht="15.75" customHeigh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 ht="15.75" customHeight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 ht="15.75" customHeigh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 ht="15.75" customHeigh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 ht="15.75" customHeight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 ht="15.75" customHeigh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 ht="15.75" customHeigh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 ht="15.75" customHeight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 ht="15.75" customHeigh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 ht="15.75" customHeigh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 ht="15.75" customHeight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 ht="15.75" customHeigh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 ht="15.75" customHeigh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 ht="15.75" customHeight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 ht="15.75" customHeigh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 ht="15.75" customHeigh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 ht="15.75" customHeight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 ht="15.75" customHeigh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 ht="15.75" customHeigh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 ht="15.75" customHeight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 ht="15.75" customHeigh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 ht="15.75" customHeigh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 ht="15.75" customHeight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 ht="15.75" customHeight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 ht="15.75" customHeigh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 ht="15.75" customHeigh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 ht="15.75" customHeight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 ht="15.75" customHeigh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 ht="15.75" customHeigh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 ht="15.75" customHeight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 ht="15.75" customHeigh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 ht="15.75" customHeigh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 ht="15.75" customHeight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 ht="15.75" customHeigh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 ht="15.75" customHeigh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 ht="15.75" customHeight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 ht="15.75" customHeigh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 ht="15.75" customHeigh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 ht="15.75" customHeight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 ht="15.75" customHeigh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 ht="15.75" customHeigh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 ht="15.75" customHeight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 ht="15.75" customHeigh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 ht="15.75" customHeigh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 ht="15.75" customHeight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 ht="15.75" customHeigh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 ht="15.75" customHeigh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 ht="15.75" customHeight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 ht="15.75" customHeigh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 ht="15.75" customHeigh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 ht="15.75" customHeight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 ht="15.75" customHeigh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 ht="15.75" customHeigh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 ht="15.75" customHeight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 ht="15.75" customHeigh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 ht="15.75" customHeigh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 ht="15.75" customHeight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 ht="15.75" customHeigh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 ht="15.75" customHeigh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 ht="15.75" customHeight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 ht="15.75" customHeigh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 ht="15.75" customHeigh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 ht="15.75" customHeight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 ht="15.75" customHeigh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 ht="15.75" customHeigh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 ht="15.75" customHeight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 ht="15.75" customHeigh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 ht="15.75" customHeigh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 ht="15.75" customHeight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 ht="15.75" customHeigh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 ht="15.75" customHeigh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 ht="15.75" customHeight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 ht="15.75" customHeigh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 ht="15.75" customHeigh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 ht="15.75" customHeight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 ht="15.75" customHeigh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 ht="15.75" customHeigh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 ht="15.75" customHeight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 ht="15.75" customHeigh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 ht="15.75" customHeigh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 ht="15.75" customHeight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 ht="15.75" customHeigh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 ht="15.75" customHeigh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 ht="15.75" customHeight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 ht="15.75" customHeigh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 ht="15.75" customHeigh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 ht="15.75" customHeight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 ht="15.75" customHeigh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 ht="15.75" customHeigh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 ht="15.75" customHeight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 ht="15.75" customHeigh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 ht="15.75" customHeigh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 ht="15.75" customHeight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 ht="15.75" customHeigh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 ht="15.75" customHeigh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 ht="15.75" customHeight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 ht="15.75" customHeigh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 ht="15.75" customHeigh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 ht="15.75" customHeight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 ht="15.75" customHeigh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 ht="15.75" customHeigh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 ht="15.75" customHeight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 ht="15.75" customHeigh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 ht="15.75" customHeigh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 ht="15.75" customHeight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 ht="15.75" customHeigh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 ht="15.75" customHeigh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 ht="15.75" customHeight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 ht="15.75" customHeigh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 ht="15.75" customHeigh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 ht="15.75" customHeight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 ht="15.75" customHeigh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 ht="15.75" customHeigh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 ht="15.75" customHeight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 ht="15.75" customHeight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 ht="15.75" customHeigh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 ht="15.75" customHeigh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 ht="15.75" customHeight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 ht="15.75" customHeigh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 ht="15.75" customHeigh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 ht="15.75" customHeight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 ht="15.75" customHeigh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 ht="15.75" customHeigh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 ht="15.75" customHeight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 ht="15.75" customHeigh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 ht="15.75" customHeigh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 ht="15.75" customHeight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 ht="15.75" customHeigh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 ht="15.75" customHeigh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 ht="15.75" customHeight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 ht="15.75" customHeigh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 ht="15.75" customHeigh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 ht="15.75" customHeight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 ht="15.75" customHeigh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 ht="15.75" customHeigh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 ht="15.75" customHeight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 ht="15.75" customHeigh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 ht="15.75" customHeigh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 ht="15.75" customHeight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 ht="15.75" customHeigh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 ht="15.75" customHeigh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 ht="15.75" customHeight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 ht="15.75" customHeigh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 ht="15.75" customHeigh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 ht="15.75" customHeight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 ht="15.75" customHeigh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 ht="15.75" customHeigh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 ht="15.75" customHeight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 ht="15.75" customHeigh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 ht="15.75" customHeigh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 ht="15.75" customHeight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 ht="15.75" customHeigh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 ht="15.75" customHeigh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 ht="15.75" customHeight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 ht="15.75" customHeigh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 ht="15.75" customHeigh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 ht="15.75" customHeight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 ht="15.75" customHeigh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 ht="15.75" customHeigh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 ht="15.75" customHeight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 ht="15.75" customHeigh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 ht="15.75" customHeigh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 ht="15.75" customHeight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 ht="15.75" customHeigh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 ht="15.75" customHeigh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 ht="15.75" customHeight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 ht="15.75" customHeigh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 ht="15.75" customHeigh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 ht="15.75" customHeight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 ht="15.75" customHeigh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 ht="15.75" customHeigh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 ht="15.75" customHeight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 ht="15.75" customHeigh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 ht="15.75" customHeigh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 ht="15.75" customHeight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 ht="15.75" customHeigh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 ht="15.75" customHeigh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 ht="15.75" customHeight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 ht="15.75" customHeigh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 ht="15.75" customHeigh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 ht="15.75" customHeight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 ht="15.75" customHeigh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 ht="15.75" customHeigh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 ht="15.75" customHeight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 ht="15.75" customHeigh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 ht="15.75" customHeigh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 ht="15.75" customHeight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 ht="15.75" customHeigh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 ht="15.75" customHeigh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 ht="15.75" customHeight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 ht="15.75" customHeigh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 ht="15.75" customHeigh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 ht="15.75" customHeight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 ht="15.75" customHeight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 ht="15.75" customHeight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 ht="15.75" customHeigh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 ht="15.75" customHeigh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 ht="15.75" customHeight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 ht="15.75" customHeigh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 ht="15.75" customHeigh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 ht="15.75" customHeight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 ht="15.75" customHeigh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 ht="15.75" customHeigh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 ht="15.75" customHeight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 ht="15.75" customHeigh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 ht="15.75" customHeigh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 ht="15.75" customHeight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 ht="15.75" customHeigh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 ht="15.75" customHeigh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 ht="15.75" customHeight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 ht="15.75" customHeigh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 ht="15.75" customHeigh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 ht="15.75" customHeight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 ht="15.75" customHeigh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 ht="15.75" customHeigh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 ht="15.75" customHeight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 ht="15.75" customHeigh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 ht="15.75" customHeigh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 ht="15.75" customHeight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 ht="15.75" customHeigh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 ht="15.75" customHeigh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 ht="15.75" customHeight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 ht="15.75" customHeigh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 ht="15.75" customHeigh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 ht="15.75" customHeight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 ht="15.75" customHeigh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 ht="15.75" customHeigh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 ht="15.75" customHeight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 ht="15.75" customHeigh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 ht="15.75" customHeigh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 ht="15.75" customHeight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 ht="15.75" customHeigh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 ht="15.75" customHeigh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 ht="15.75" customHeight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 ht="15.75" customHeigh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 ht="15.75" customHeigh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 ht="15.75" customHeight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 ht="15.75" customHeigh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 ht="15.75" customHeigh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 ht="15.75" customHeight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 ht="15.75" customHeigh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 ht="15.75" customHeigh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 ht="15.75" customHeight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 ht="15.75" customHeigh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 ht="15.75" customHeigh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 ht="15.75" customHeight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 ht="15.75" customHeigh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 ht="15.75" customHeigh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 ht="15.75" customHeight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 ht="15.75" customHeigh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 ht="15.75" customHeigh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 ht="15.75" customHeight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 ht="15.75" customHeigh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 ht="15.75" customHeigh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 ht="15.75" customHeight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 ht="15.75" customHeigh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 ht="15.75" customHeigh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 ht="15.75" customHeight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 ht="15.75" customHeigh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 ht="15.75" customHeigh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 ht="15.75" customHeight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 ht="15.75" customHeigh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 ht="15.75" customHeigh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 ht="15.75" customHeight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 ht="15.75" customHeigh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 ht="15.75" customHeigh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 ht="15.75" customHeight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 ht="15.75" customHeigh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 ht="15.75" customHeigh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 ht="15.75" customHeight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 ht="15.75" customHeigh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 ht="15.75" customHeigh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 ht="15.75" customHeight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 ht="15.75" customHeigh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 ht="15.75" customHeigh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 ht="15.75" customHeight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 ht="15.75" customHeigh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 ht="15.75" customHeigh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 ht="15.75" customHeight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 ht="15.75" customHeigh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 ht="15.75" customHeigh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 ht="15.75" customHeight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 ht="15.75" customHeigh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 ht="15.75" customHeigh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 ht="15.75" customHeight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 ht="15.75" customHeigh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 ht="15.75" customHeigh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 ht="15.75" customHeight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 ht="15.75" customHeigh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 ht="15.75" customHeigh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 ht="15.75" customHeight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 ht="15.75" customHeigh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 ht="15.75" customHeigh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 ht="15.75" customHeight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 ht="15.75" customHeigh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 ht="15.75" customHeigh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 ht="15.75" customHeigh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 ht="15.75" customHeigh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 ht="15.75" customHeigh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 ht="15.75" customHeigh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 ht="15.75" customHeigh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 ht="15.75" customHeigh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 ht="15.75" customHeight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 ht="15.75" customHeigh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 ht="15.75" customHeigh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 ht="15.75" customHeight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 ht="15.75" customHeigh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 ht="15.75" customHeigh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 ht="15.75" customHeight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 ht="15.75" customHeigh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 ht="15.75" customHeigh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 ht="15.75" customHeight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 ht="15.75" customHeigh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 ht="15.75" customHeigh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 ht="15.75" customHeight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 ht="15.75" customHeigh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 ht="15.75" customHeigh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 ht="15.75" customHeight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 ht="15.75" customHeigh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 ht="15.75" customHeigh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 ht="15.75" customHeight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 ht="15.75" customHeigh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 ht="15.75" customHeigh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 ht="15.75" customHeight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 ht="15.75" customHeigh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 ht="15.75" customHeigh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 ht="15.75" customHeight="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 ht="15.75" customHeight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 ht="15.75" customHeight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 ht="15.75" customHeight="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 ht="15.75" customHeight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 ht="15.75" customHeight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 ht="15.75" customHeight="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 ht="15.75" customHeight="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 ht="15.75" customHeight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 ht="15.75" customHeight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 ht="15.75" customHeight="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 ht="15.75" customHeight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 ht="15.75" customHeight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 ht="15.75" customHeight="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 ht="15.75" customHeight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 ht="15.75" customHeight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 ht="15.75" customHeight="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 ht="15.75" customHeight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 ht="15.75" customHeight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 ht="15.75" customHeight="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 ht="15.75" customHeight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 ht="15.75" customHeight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 ht="15.75" customHeight="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 ht="15.75" customHeight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 ht="15.75" customHeight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 ht="15.75" customHeight="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 ht="15.75" customHeight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 ht="15.75" customHeight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 ht="15.75" customHeight="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 ht="15.75" customHeight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 ht="15.75" customHeight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 ht="15.75" customHeight="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 ht="15.75" customHeight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 ht="15.75" customHeight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 ht="15.75" customHeight="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 ht="15.75" customHeight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 ht="15.75" customHeight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 ht="15.75" customHeight="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 ht="15.75" customHeight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 ht="15.75" customHeight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 ht="15.75" customHeight="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 ht="15.75" customHeight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 ht="15.75" customHeight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 ht="15.75" customHeight="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 ht="15.75" customHeight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 ht="15.75" customHeight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 ht="15.75" customHeight="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 ht="15.75" customHeight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 ht="15.75" customHeight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 ht="15.75" customHeight="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 ht="15.75" customHeight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 ht="15.75" customHeight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 ht="15.75" customHeight="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 ht="15.75" customHeight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 ht="15.75" customHeight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 ht="15.75" customHeight="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 ht="15.75" customHeight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 ht="15.75" customHeight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 ht="15.75" customHeight="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 ht="15.75" customHeight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 ht="15.75" customHeight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 ht="15.75" customHeight="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 ht="15.75" customHeight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 ht="15.75" customHeight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 ht="15.75" customHeight="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 ht="15.75" customHeight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 ht="15.75" customHeight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 ht="15.75" customHeight="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 ht="15.75" customHeight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 ht="15.75" customHeight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 ht="15.75" customHeight="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 ht="15.75" customHeight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 ht="15.75" customHeight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 ht="15.75" customHeight="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 ht="15.75" customHeight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 ht="15.75" customHeight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 ht="15.75" customHeight="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 ht="15.75" customHeight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 ht="15.75" customHeight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 ht="15.75" customHeight="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 ht="15.75" customHeight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 ht="15.75" customHeight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 ht="15.75" customHeight="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 ht="15.75" customHeight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 ht="15.75" customHeight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 ht="15.75" customHeight="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 ht="15.75" customHeight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 ht="15.75" customHeight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 ht="15.75" customHeight="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 ht="15.75" customHeight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 ht="15.75" customHeight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 ht="15.75" customHeight="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 ht="15.75" customHeight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 ht="15.75" customHeight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 ht="15.75" customHeight="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 ht="15.75" customHeight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 ht="15.75" customHeight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 ht="15.75" customHeight="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 ht="15.75" customHeight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 ht="15.75" customHeight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 ht="15.75" customHeight="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 ht="15.75" customHeight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 ht="15.75" customHeight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 ht="15.75" customHeight="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 ht="15.75" customHeight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</sheetData>
  <mergeCells count="8">
    <mergeCell ref="F3:G3"/>
    <mergeCell ref="L3:M3"/>
    <mergeCell ref="B1:O1"/>
    <mergeCell ref="J3:K3"/>
    <mergeCell ref="N3:O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ALGA</t>
        </is>
      </c>
      <c r="B2" s="12" t="b">
        <v>0</v>
      </c>
      <c r="C2" s="13" t="n"/>
      <c r="D2" s="12" t="n">
        <v>1</v>
      </c>
    </row>
    <row r="3">
      <c r="A3" s="12" t="inlineStr">
        <is>
          <t>AM I</t>
        </is>
      </c>
      <c r="B3" s="12" t="b">
        <v>0</v>
      </c>
      <c r="C3" s="13" t="n"/>
      <c r="D3" s="12" t="n">
        <v>1</v>
      </c>
    </row>
    <row r="4">
      <c r="A4" s="12" t="inlineStr">
        <is>
          <t>FP</t>
        </is>
      </c>
      <c r="B4" s="12" t="b">
        <v>0</v>
      </c>
      <c r="C4" s="13" t="n"/>
      <c r="D4" s="12" t="n">
        <v>1</v>
      </c>
    </row>
    <row r="5">
      <c r="A5" s="12" t="inlineStr">
        <is>
          <t>FSC</t>
        </is>
      </c>
      <c r="B5" s="12" t="b">
        <v>0</v>
      </c>
      <c r="C5" s="13" t="n"/>
      <c r="D5" s="12" t="n">
        <v>1</v>
      </c>
    </row>
    <row r="6">
      <c r="A6" s="12" t="inlineStr">
        <is>
          <t>MD</t>
        </is>
      </c>
      <c r="B6" s="12" t="b">
        <v>0</v>
      </c>
      <c r="C6" s="13" t="n"/>
      <c r="D6" s="12" t="n">
        <v>1</v>
      </c>
    </row>
    <row r="7">
      <c r="A7" s="12" t="inlineStr">
        <is>
          <t>PUP</t>
        </is>
      </c>
      <c r="B7" s="12" t="b">
        <v>0</v>
      </c>
      <c r="C7" s="13" t="n"/>
      <c r="D7" s="12" t="n">
        <v>1</v>
      </c>
    </row>
    <row r="8">
      <c r="A8" s="12" t="inlineStr">
        <is>
          <t>AED</t>
        </is>
      </c>
      <c r="B8" s="12" t="b">
        <v>0</v>
      </c>
      <c r="C8" s="13" t="n"/>
      <c r="D8" s="12" t="n">
        <v>2</v>
      </c>
    </row>
    <row r="9">
      <c r="A9" s="12" t="inlineStr">
        <is>
          <t>BD</t>
        </is>
      </c>
      <c r="B9" s="12" t="b">
        <v>0</v>
      </c>
      <c r="C9" s="13" t="n"/>
      <c r="D9" s="12" t="n">
        <v>2</v>
      </c>
    </row>
    <row r="10">
      <c r="A10" s="12" t="inlineStr">
        <is>
          <t>F II</t>
        </is>
      </c>
      <c r="B10" s="12" t="b">
        <v>0</v>
      </c>
      <c r="C10" s="13" t="n"/>
      <c r="D10" s="12" t="n">
        <v>2</v>
      </c>
    </row>
    <row r="11">
      <c r="A11" s="12" t="inlineStr">
        <is>
          <t>LDTS</t>
        </is>
      </c>
      <c r="B11" s="12" t="b">
        <v>0</v>
      </c>
      <c r="C11" s="13" t="n"/>
      <c r="D11" s="12" t="n">
        <v>2</v>
      </c>
    </row>
    <row r="12">
      <c r="A12" s="12" t="inlineStr">
        <is>
          <t>SO</t>
        </is>
      </c>
      <c r="B12" s="12" t="b">
        <v>0</v>
      </c>
      <c r="C12" s="13" t="n"/>
      <c r="D12" s="12" t="n">
        <v>2</v>
      </c>
    </row>
    <row r="13">
      <c r="A13" s="12" t="inlineStr">
        <is>
          <t>FSI</t>
        </is>
      </c>
      <c r="B13" s="12" t="b">
        <v>0</v>
      </c>
      <c r="C13" s="13" t="n"/>
      <c r="D13" s="12" t="n">
        <v>3</v>
      </c>
    </row>
    <row r="14">
      <c r="A14" s="12" t="inlineStr">
        <is>
          <t>IPC</t>
        </is>
      </c>
      <c r="B14" s="12" t="b">
        <v>0</v>
      </c>
      <c r="C14" s="13" t="n"/>
      <c r="D14" s="12" t="n">
        <v>3</v>
      </c>
    </row>
    <row r="15">
      <c r="A15" s="12" t="inlineStr">
        <is>
          <t>LBAW</t>
        </is>
      </c>
      <c r="B15" s="12" t="b">
        <v>0</v>
      </c>
      <c r="C15" s="13" t="n"/>
      <c r="D15" s="12" t="n">
        <v>3</v>
      </c>
    </row>
    <row r="16">
      <c r="A16" s="12" t="inlineStr">
        <is>
          <t>PFL</t>
        </is>
      </c>
      <c r="B16" s="12" t="b">
        <v>0</v>
      </c>
      <c r="C16" s="13" t="n"/>
      <c r="D16" s="12" t="n">
        <v>3</v>
      </c>
    </row>
    <row r="17">
      <c r="A17" s="12" t="inlineStr">
        <is>
          <t>RC</t>
        </is>
      </c>
      <c r="B17" s="12" t="b">
        <v>0</v>
      </c>
      <c r="C17" s="13" t="n"/>
      <c r="D17" s="12" t="n">
        <v>3</v>
      </c>
    </row>
    <row r="18">
      <c r="A18" s="12" t="inlineStr">
        <is>
          <t>IADE</t>
        </is>
      </c>
      <c r="B18" s="12" t="b">
        <v>0</v>
      </c>
      <c r="C18" s="13" t="n"/>
      <c r="D18" s="12" t="n">
        <v>3</v>
      </c>
    </row>
    <row r="19">
      <c r="A19" s="12" t="inlineStr">
        <is>
          <t>IADP</t>
        </is>
      </c>
      <c r="B19" s="12" t="b">
        <v>0</v>
      </c>
      <c r="C19" s="13" t="n"/>
      <c r="D19" s="12" t="n">
        <v>3</v>
      </c>
    </row>
    <row r="20">
      <c r="A20" s="12" t="inlineStr">
        <is>
          <t>IR</t>
        </is>
      </c>
      <c r="B20" s="12" t="b">
        <v>0</v>
      </c>
      <c r="C20" s="13" t="n"/>
      <c r="D20" s="12" t="n">
        <v>3</v>
      </c>
    </row>
    <row r="21">
      <c r="A21" s="12" t="inlineStr">
        <is>
          <t>MPSAC</t>
        </is>
      </c>
      <c r="B21" s="12" t="b">
        <v>0</v>
      </c>
      <c r="C21" s="13" t="n"/>
      <c r="D21" s="12" t="n">
        <v>3</v>
      </c>
    </row>
    <row r="22">
      <c r="A22" s="12" t="inlineStr">
        <is>
          <t>AADL</t>
        </is>
      </c>
      <c r="B22" s="12" t="b">
        <v>0</v>
      </c>
      <c r="C22" s="13" t="n"/>
      <c r="D22" s="12" t="n">
        <v>3</v>
      </c>
    </row>
    <row r="23">
      <c r="A23" s="12" t="inlineStr">
        <is>
          <t>DDS</t>
        </is>
      </c>
      <c r="B23" s="12" t="b">
        <v>0</v>
      </c>
      <c r="C23" s="13" t="n"/>
      <c r="D23" s="12" t="n">
        <v>3</v>
      </c>
    </row>
    <row r="24">
      <c r="A24" s="12" t="inlineStr">
        <is>
          <t>MTIL</t>
        </is>
      </c>
      <c r="B24" s="12" t="b">
        <v>0</v>
      </c>
      <c r="C24" s="13" t="n"/>
      <c r="D24" s="12" t="n">
        <v>3</v>
      </c>
    </row>
    <row r="25">
      <c r="A25" s="12" t="inlineStr">
        <is>
          <t>SAFE</t>
        </is>
      </c>
      <c r="B25" s="12" t="b">
        <v>0</v>
      </c>
      <c r="C25" s="13" t="n"/>
      <c r="D25" s="12" t="n">
        <v>3</v>
      </c>
    </row>
    <row r="26">
      <c r="A26" s="12" t="inlineStr">
        <is>
          <t>IMQ</t>
        </is>
      </c>
      <c r="B26" s="12" t="b">
        <v>0</v>
      </c>
      <c r="C26" s="13" t="n"/>
      <c r="D26" s="12" t="n">
        <v>3</v>
      </c>
    </row>
    <row r="27">
      <c r="A27" s="12" t="inlineStr">
        <is>
          <t>RNMOG01</t>
        </is>
      </c>
      <c r="B27" s="12" t="b">
        <v>0</v>
      </c>
      <c r="C27" s="13" t="n"/>
      <c r="D27" s="12" t="n">
        <v>3</v>
      </c>
    </row>
    <row r="28">
      <c r="A28" s="12" t="inlineStr">
        <is>
          <t>CTLGE01</t>
        </is>
      </c>
      <c r="B28" s="12" t="b">
        <v>0</v>
      </c>
      <c r="C28" s="13" t="n"/>
      <c r="D28" s="12" t="n">
        <v>3</v>
      </c>
    </row>
  </sheetData>
  <dataValidations count="2">
    <dataValidation sqref="B2:B28" showDropDown="0" showInputMessage="0" showErrorMessage="0" allowBlank="1" type="list">
      <formula1>"TRUE,FALSE"</formula1>
    </dataValidation>
    <dataValidation sqref="C2:C28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4" t="inlineStr">
        <is>
          <t>UC \ UC</t>
        </is>
      </c>
      <c r="B1" s="14" t="inlineStr">
        <is>
          <t>ALGA</t>
        </is>
      </c>
      <c r="C1" s="14" t="inlineStr">
        <is>
          <t>AM I</t>
        </is>
      </c>
      <c r="D1" s="14" t="inlineStr">
        <is>
          <t>FP</t>
        </is>
      </c>
      <c r="E1" s="14" t="inlineStr">
        <is>
          <t>FSC</t>
        </is>
      </c>
      <c r="F1" s="14" t="inlineStr">
        <is>
          <t>MD</t>
        </is>
      </c>
      <c r="G1" s="14" t="inlineStr">
        <is>
          <t>PUP</t>
        </is>
      </c>
      <c r="H1" s="14" t="inlineStr">
        <is>
          <t>AED</t>
        </is>
      </c>
      <c r="I1" s="14" t="inlineStr">
        <is>
          <t>BD</t>
        </is>
      </c>
      <c r="J1" s="14" t="inlineStr">
        <is>
          <t>F II</t>
        </is>
      </c>
      <c r="K1" s="14" t="inlineStr">
        <is>
          <t>LDTS</t>
        </is>
      </c>
      <c r="L1" s="14" t="inlineStr">
        <is>
          <t>SO</t>
        </is>
      </c>
      <c r="M1" s="14" t="inlineStr">
        <is>
          <t>FSI</t>
        </is>
      </c>
      <c r="N1" s="14" t="inlineStr">
        <is>
          <t>IPC</t>
        </is>
      </c>
      <c r="O1" s="14" t="inlineStr">
        <is>
          <t>LBAW</t>
        </is>
      </c>
      <c r="P1" s="14" t="inlineStr">
        <is>
          <t>PFL</t>
        </is>
      </c>
      <c r="Q1" s="14" t="inlineStr">
        <is>
          <t>RC</t>
        </is>
      </c>
      <c r="R1" s="14" t="inlineStr">
        <is>
          <t>IADE</t>
        </is>
      </c>
      <c r="S1" s="14" t="inlineStr">
        <is>
          <t>IADP</t>
        </is>
      </c>
      <c r="T1" s="14" t="inlineStr">
        <is>
          <t>IR</t>
        </is>
      </c>
      <c r="U1" s="14" t="inlineStr">
        <is>
          <t>MPSAC</t>
        </is>
      </c>
      <c r="V1" s="14" t="inlineStr">
        <is>
          <t>AADL</t>
        </is>
      </c>
      <c r="W1" s="14" t="inlineStr">
        <is>
          <t>DDS</t>
        </is>
      </c>
      <c r="X1" s="14" t="inlineStr">
        <is>
          <t>MTIL</t>
        </is>
      </c>
      <c r="Y1" s="14" t="inlineStr">
        <is>
          <t>SAFE</t>
        </is>
      </c>
      <c r="Z1" s="14" t="inlineStr">
        <is>
          <t>IMQ</t>
        </is>
      </c>
      <c r="AA1" s="14" t="inlineStr">
        <is>
          <t>RNMOG01</t>
        </is>
      </c>
      <c r="AB1" s="14" t="inlineStr">
        <is>
          <t>CTLGE01</t>
        </is>
      </c>
    </row>
    <row r="2">
      <c r="A2" s="14" t="inlineStr">
        <is>
          <t>ALGA</t>
        </is>
      </c>
      <c r="B2" s="15" t="n">
        <v>322</v>
      </c>
      <c r="C2" s="16" t="n">
        <v>316</v>
      </c>
      <c r="D2" s="16" t="n">
        <v>312</v>
      </c>
      <c r="E2" s="16" t="n">
        <v>311</v>
      </c>
      <c r="F2" s="16" t="n">
        <v>314</v>
      </c>
      <c r="G2" s="16" t="n">
        <v>292</v>
      </c>
      <c r="H2" s="16" t="n">
        <v>3</v>
      </c>
      <c r="I2" s="16" t="n">
        <v>7</v>
      </c>
      <c r="J2" s="16" t="n">
        <v>9</v>
      </c>
      <c r="K2" s="16" t="n">
        <v>4</v>
      </c>
      <c r="L2" s="16" t="n">
        <v>4</v>
      </c>
      <c r="M2" s="16" t="n">
        <v>1</v>
      </c>
      <c r="N2" s="16" t="n">
        <v>1</v>
      </c>
      <c r="O2" s="16" t="n">
        <v>0</v>
      </c>
      <c r="P2" s="16" t="n">
        <v>0</v>
      </c>
      <c r="Q2" s="16" t="n">
        <v>1</v>
      </c>
      <c r="R2" s="16" t="n">
        <v>2</v>
      </c>
      <c r="S2" s="16" t="n">
        <v>1</v>
      </c>
      <c r="T2" s="16" t="n">
        <v>0</v>
      </c>
      <c r="U2" s="16" t="n">
        <v>0</v>
      </c>
      <c r="V2" s="16" t="n">
        <v>0</v>
      </c>
      <c r="W2" s="16" t="n">
        <v>0</v>
      </c>
      <c r="X2" s="16" t="n">
        <v>0</v>
      </c>
      <c r="Y2" s="16" t="n">
        <v>0</v>
      </c>
      <c r="Z2" s="16" t="n">
        <v>0</v>
      </c>
      <c r="AA2" s="16" t="n">
        <v>0</v>
      </c>
      <c r="AB2" s="16" t="n">
        <v>0</v>
      </c>
    </row>
    <row r="3">
      <c r="A3" s="14" t="inlineStr">
        <is>
          <t>AM I</t>
        </is>
      </c>
      <c r="B3" s="16" t="n">
        <v>316</v>
      </c>
      <c r="C3" s="15" t="n">
        <v>417</v>
      </c>
      <c r="D3" s="16" t="n">
        <v>349</v>
      </c>
      <c r="E3" s="16" t="n">
        <v>323</v>
      </c>
      <c r="F3" s="16" t="n">
        <v>339</v>
      </c>
      <c r="G3" s="16" t="n">
        <v>291</v>
      </c>
      <c r="H3" s="16" t="n">
        <v>64</v>
      </c>
      <c r="I3" s="16" t="n">
        <v>73</v>
      </c>
      <c r="J3" s="16" t="n">
        <v>73</v>
      </c>
      <c r="K3" s="16" t="n">
        <v>57</v>
      </c>
      <c r="L3" s="16" t="n">
        <v>61</v>
      </c>
      <c r="M3" s="16" t="n">
        <v>13</v>
      </c>
      <c r="N3" s="16" t="n">
        <v>10</v>
      </c>
      <c r="O3" s="16" t="n">
        <v>17</v>
      </c>
      <c r="P3" s="16" t="n">
        <v>14</v>
      </c>
      <c r="Q3" s="16" t="n">
        <v>15</v>
      </c>
      <c r="R3" s="16" t="n">
        <v>28</v>
      </c>
      <c r="S3" s="16" t="n">
        <v>21</v>
      </c>
      <c r="T3" s="16" t="n">
        <v>1</v>
      </c>
      <c r="U3" s="16" t="n">
        <v>0</v>
      </c>
      <c r="V3" s="16" t="n">
        <v>0</v>
      </c>
      <c r="W3" s="16" t="n">
        <v>2</v>
      </c>
      <c r="X3" s="16" t="n">
        <v>0</v>
      </c>
      <c r="Y3" s="16" t="n">
        <v>0</v>
      </c>
      <c r="Z3" s="16" t="n">
        <v>3</v>
      </c>
      <c r="AA3" s="16" t="n">
        <v>1</v>
      </c>
      <c r="AB3" s="16" t="n">
        <v>9</v>
      </c>
    </row>
    <row r="4">
      <c r="A4" s="14" t="inlineStr">
        <is>
          <t>FP</t>
        </is>
      </c>
      <c r="B4" s="16" t="n">
        <v>312</v>
      </c>
      <c r="C4" s="16" t="n">
        <v>349</v>
      </c>
      <c r="D4" s="15" t="n">
        <v>415</v>
      </c>
      <c r="E4" s="16" t="n">
        <v>329</v>
      </c>
      <c r="F4" s="16" t="n">
        <v>340</v>
      </c>
      <c r="G4" s="16" t="n">
        <v>291</v>
      </c>
      <c r="H4" s="16" t="n">
        <v>70</v>
      </c>
      <c r="I4" s="16" t="n">
        <v>80</v>
      </c>
      <c r="J4" s="16" t="n">
        <v>74</v>
      </c>
      <c r="K4" s="16" t="n">
        <v>65</v>
      </c>
      <c r="L4" s="16" t="n">
        <v>70</v>
      </c>
      <c r="M4" s="16" t="n">
        <v>8</v>
      </c>
      <c r="N4" s="16" t="n">
        <v>6</v>
      </c>
      <c r="O4" s="16" t="n">
        <v>3</v>
      </c>
      <c r="P4" s="16" t="n">
        <v>8</v>
      </c>
      <c r="Q4" s="16" t="n">
        <v>7</v>
      </c>
      <c r="R4" s="16" t="n">
        <v>24</v>
      </c>
      <c r="S4" s="16" t="n">
        <v>28</v>
      </c>
      <c r="T4" s="16" t="n">
        <v>1</v>
      </c>
      <c r="U4" s="16" t="n">
        <v>1</v>
      </c>
      <c r="V4" s="16" t="n">
        <v>0</v>
      </c>
      <c r="W4" s="16" t="n">
        <v>2</v>
      </c>
      <c r="X4" s="16" t="n">
        <v>0</v>
      </c>
      <c r="Y4" s="16" t="n">
        <v>1</v>
      </c>
      <c r="Z4" s="16" t="n">
        <v>2</v>
      </c>
      <c r="AA4" s="16" t="n">
        <v>1</v>
      </c>
      <c r="AB4" s="16" t="n">
        <v>8</v>
      </c>
    </row>
    <row r="5">
      <c r="A5" s="14" t="inlineStr">
        <is>
          <t>FSC</t>
        </is>
      </c>
      <c r="B5" s="16" t="n">
        <v>311</v>
      </c>
      <c r="C5" s="16" t="n">
        <v>323</v>
      </c>
      <c r="D5" s="16" t="n">
        <v>329</v>
      </c>
      <c r="E5" s="15" t="n">
        <v>343</v>
      </c>
      <c r="F5" s="16" t="n">
        <v>326</v>
      </c>
      <c r="G5" s="16" t="n">
        <v>290</v>
      </c>
      <c r="H5" s="16" t="n">
        <v>14</v>
      </c>
      <c r="I5" s="16" t="n">
        <v>20</v>
      </c>
      <c r="J5" s="16" t="n">
        <v>17</v>
      </c>
      <c r="K5" s="16" t="n">
        <v>10</v>
      </c>
      <c r="L5" s="16" t="n">
        <v>13</v>
      </c>
      <c r="M5" s="16" t="n">
        <v>2</v>
      </c>
      <c r="N5" s="16" t="n">
        <v>2</v>
      </c>
      <c r="O5" s="16" t="n">
        <v>0</v>
      </c>
      <c r="P5" s="16" t="n">
        <v>2</v>
      </c>
      <c r="Q5" s="16" t="n">
        <v>1</v>
      </c>
      <c r="R5" s="16" t="n">
        <v>4</v>
      </c>
      <c r="S5" s="16" t="n">
        <v>6</v>
      </c>
      <c r="T5" s="16" t="n">
        <v>0</v>
      </c>
      <c r="U5" s="16" t="n">
        <v>0</v>
      </c>
      <c r="V5" s="16" t="n">
        <v>0</v>
      </c>
      <c r="W5" s="16" t="n">
        <v>2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</row>
    <row r="6">
      <c r="A6" s="14" t="inlineStr">
        <is>
          <t>MD</t>
        </is>
      </c>
      <c r="B6" s="16" t="n">
        <v>314</v>
      </c>
      <c r="C6" s="16" t="n">
        <v>339</v>
      </c>
      <c r="D6" s="16" t="n">
        <v>340</v>
      </c>
      <c r="E6" s="16" t="n">
        <v>326</v>
      </c>
      <c r="F6" s="15" t="n">
        <v>365</v>
      </c>
      <c r="G6" s="16" t="n">
        <v>292</v>
      </c>
      <c r="H6" s="16" t="n">
        <v>22</v>
      </c>
      <c r="I6" s="16" t="n">
        <v>28</v>
      </c>
      <c r="J6" s="16" t="n">
        <v>28</v>
      </c>
      <c r="K6" s="16" t="n">
        <v>19</v>
      </c>
      <c r="L6" s="16" t="n">
        <v>25</v>
      </c>
      <c r="M6" s="16" t="n">
        <v>1</v>
      </c>
      <c r="N6" s="16" t="n">
        <v>4</v>
      </c>
      <c r="O6" s="16" t="n">
        <v>5</v>
      </c>
      <c r="P6" s="16" t="n">
        <v>4</v>
      </c>
      <c r="Q6" s="16" t="n">
        <v>1</v>
      </c>
      <c r="R6" s="16" t="n">
        <v>13</v>
      </c>
      <c r="S6" s="16" t="n">
        <v>8</v>
      </c>
      <c r="T6" s="16" t="n">
        <v>1</v>
      </c>
      <c r="U6" s="16" t="n">
        <v>0</v>
      </c>
      <c r="V6" s="16" t="n">
        <v>1</v>
      </c>
      <c r="W6" s="16" t="n">
        <v>1</v>
      </c>
      <c r="X6" s="16" t="n">
        <v>0</v>
      </c>
      <c r="Y6" s="16" t="n">
        <v>0</v>
      </c>
      <c r="Z6" s="16" t="n">
        <v>2</v>
      </c>
      <c r="AA6" s="16" t="n">
        <v>0</v>
      </c>
      <c r="AB6" s="16" t="n">
        <v>4</v>
      </c>
    </row>
    <row r="7">
      <c r="A7" s="14" t="inlineStr">
        <is>
          <t>PUP</t>
        </is>
      </c>
      <c r="B7" s="16" t="n">
        <v>292</v>
      </c>
      <c r="C7" s="16" t="n">
        <v>291</v>
      </c>
      <c r="D7" s="16" t="n">
        <v>291</v>
      </c>
      <c r="E7" s="16" t="n">
        <v>290</v>
      </c>
      <c r="F7" s="16" t="n">
        <v>292</v>
      </c>
      <c r="G7" s="15" t="n">
        <v>294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</row>
    <row r="8">
      <c r="A8" s="14" t="inlineStr">
        <is>
          <t>AED</t>
        </is>
      </c>
      <c r="B8" s="16" t="n">
        <v>3</v>
      </c>
      <c r="C8" s="16" t="n">
        <v>64</v>
      </c>
      <c r="D8" s="16" t="n">
        <v>70</v>
      </c>
      <c r="E8" s="16" t="n">
        <v>14</v>
      </c>
      <c r="F8" s="16" t="n">
        <v>22</v>
      </c>
      <c r="G8" s="16" t="n">
        <v>1</v>
      </c>
      <c r="H8" s="15" t="n">
        <v>400</v>
      </c>
      <c r="I8" s="16" t="n">
        <v>321</v>
      </c>
      <c r="J8" s="16" t="n">
        <v>283</v>
      </c>
      <c r="K8" s="16" t="n">
        <v>287</v>
      </c>
      <c r="L8" s="16" t="n">
        <v>295</v>
      </c>
      <c r="M8" s="16" t="n">
        <v>71</v>
      </c>
      <c r="N8" s="16" t="n">
        <v>68</v>
      </c>
      <c r="O8" s="16" t="n">
        <v>76</v>
      </c>
      <c r="P8" s="16" t="n">
        <v>76</v>
      </c>
      <c r="Q8" s="16" t="n">
        <v>80</v>
      </c>
      <c r="R8" s="16" t="n">
        <v>73</v>
      </c>
      <c r="S8" s="16" t="n">
        <v>189</v>
      </c>
      <c r="T8" s="16" t="n">
        <v>7</v>
      </c>
      <c r="U8" s="16" t="n">
        <v>16</v>
      </c>
      <c r="V8" s="16" t="n">
        <v>4</v>
      </c>
      <c r="W8" s="16" t="n">
        <v>11</v>
      </c>
      <c r="X8" s="16" t="n">
        <v>0</v>
      </c>
      <c r="Y8" s="16" t="n">
        <v>2</v>
      </c>
      <c r="Z8" s="16" t="n">
        <v>14</v>
      </c>
      <c r="AA8" s="16" t="n">
        <v>4</v>
      </c>
      <c r="AB8" s="16" t="n">
        <v>31</v>
      </c>
    </row>
    <row r="9">
      <c r="A9" s="14" t="inlineStr">
        <is>
          <t>BD</t>
        </is>
      </c>
      <c r="B9" s="16" t="n">
        <v>7</v>
      </c>
      <c r="C9" s="16" t="n">
        <v>73</v>
      </c>
      <c r="D9" s="16" t="n">
        <v>80</v>
      </c>
      <c r="E9" s="16" t="n">
        <v>20</v>
      </c>
      <c r="F9" s="16" t="n">
        <v>28</v>
      </c>
      <c r="G9" s="16" t="n">
        <v>1</v>
      </c>
      <c r="H9" s="16" t="n">
        <v>321</v>
      </c>
      <c r="I9" s="15" t="n">
        <v>367</v>
      </c>
      <c r="J9" s="16" t="n">
        <v>293</v>
      </c>
      <c r="K9" s="16" t="n">
        <v>288</v>
      </c>
      <c r="L9" s="16" t="n">
        <v>296</v>
      </c>
      <c r="M9" s="16" t="n">
        <v>36</v>
      </c>
      <c r="N9" s="16" t="n">
        <v>36</v>
      </c>
      <c r="O9" s="16" t="n">
        <v>33</v>
      </c>
      <c r="P9" s="16" t="n">
        <v>30</v>
      </c>
      <c r="Q9" s="16" t="n">
        <v>36</v>
      </c>
      <c r="R9" s="16" t="n">
        <v>68</v>
      </c>
      <c r="S9" s="16" t="n">
        <v>174</v>
      </c>
      <c r="T9" s="16" t="n">
        <v>8</v>
      </c>
      <c r="U9" s="16" t="n">
        <v>13</v>
      </c>
      <c r="V9" s="16" t="n">
        <v>5</v>
      </c>
      <c r="W9" s="16" t="n">
        <v>9</v>
      </c>
      <c r="X9" s="16" t="n">
        <v>0</v>
      </c>
      <c r="Y9" s="16" t="n">
        <v>2</v>
      </c>
      <c r="Z9" s="16" t="n">
        <v>14</v>
      </c>
      <c r="AA9" s="16" t="n">
        <v>1</v>
      </c>
      <c r="AB9" s="16" t="n">
        <v>23</v>
      </c>
    </row>
    <row r="10">
      <c r="A10" s="14" t="inlineStr">
        <is>
          <t>F II</t>
        </is>
      </c>
      <c r="B10" s="16" t="n">
        <v>9</v>
      </c>
      <c r="C10" s="16" t="n">
        <v>73</v>
      </c>
      <c r="D10" s="16" t="n">
        <v>74</v>
      </c>
      <c r="E10" s="16" t="n">
        <v>17</v>
      </c>
      <c r="F10" s="16" t="n">
        <v>28</v>
      </c>
      <c r="G10" s="16" t="n">
        <v>1</v>
      </c>
      <c r="H10" s="16" t="n">
        <v>283</v>
      </c>
      <c r="I10" s="16" t="n">
        <v>293</v>
      </c>
      <c r="J10" s="15" t="n">
        <v>332</v>
      </c>
      <c r="K10" s="16" t="n">
        <v>268</v>
      </c>
      <c r="L10" s="16" t="n">
        <v>280</v>
      </c>
      <c r="M10" s="16" t="n">
        <v>20</v>
      </c>
      <c r="N10" s="16" t="n">
        <v>14</v>
      </c>
      <c r="O10" s="16" t="n">
        <v>19</v>
      </c>
      <c r="P10" s="16" t="n">
        <v>19</v>
      </c>
      <c r="Q10" s="16" t="n">
        <v>26</v>
      </c>
      <c r="R10" s="16" t="n">
        <v>53</v>
      </c>
      <c r="S10" s="16" t="n">
        <v>162</v>
      </c>
      <c r="T10" s="16" t="n">
        <v>6</v>
      </c>
      <c r="U10" s="16" t="n">
        <v>13</v>
      </c>
      <c r="V10" s="16" t="n">
        <v>5</v>
      </c>
      <c r="W10" s="16" t="n">
        <v>4</v>
      </c>
      <c r="X10" s="16" t="n">
        <v>0</v>
      </c>
      <c r="Y10" s="16" t="n">
        <v>1</v>
      </c>
      <c r="Z10" s="16" t="n">
        <v>11</v>
      </c>
      <c r="AA10" s="16" t="n">
        <v>1</v>
      </c>
      <c r="AB10" s="16" t="n">
        <v>15</v>
      </c>
    </row>
    <row r="11">
      <c r="A11" s="14" t="inlineStr">
        <is>
          <t>LDTS</t>
        </is>
      </c>
      <c r="B11" s="16" t="n">
        <v>4</v>
      </c>
      <c r="C11" s="16" t="n">
        <v>57</v>
      </c>
      <c r="D11" s="16" t="n">
        <v>65</v>
      </c>
      <c r="E11" s="16" t="n">
        <v>10</v>
      </c>
      <c r="F11" s="16" t="n">
        <v>19</v>
      </c>
      <c r="G11" s="16" t="n">
        <v>1</v>
      </c>
      <c r="H11" s="16" t="n">
        <v>287</v>
      </c>
      <c r="I11" s="16" t="n">
        <v>288</v>
      </c>
      <c r="J11" s="16" t="n">
        <v>268</v>
      </c>
      <c r="K11" s="15" t="n">
        <v>320</v>
      </c>
      <c r="L11" s="16" t="n">
        <v>287</v>
      </c>
      <c r="M11" s="16" t="n">
        <v>15</v>
      </c>
      <c r="N11" s="16" t="n">
        <v>19</v>
      </c>
      <c r="O11" s="16" t="n">
        <v>18</v>
      </c>
      <c r="P11" s="16" t="n">
        <v>13</v>
      </c>
      <c r="Q11" s="16" t="n">
        <v>18</v>
      </c>
      <c r="R11" s="16" t="n">
        <v>49</v>
      </c>
      <c r="S11" s="16" t="n">
        <v>164</v>
      </c>
      <c r="T11" s="16" t="n">
        <v>7</v>
      </c>
      <c r="U11" s="16" t="n">
        <v>14</v>
      </c>
      <c r="V11" s="16" t="n">
        <v>4</v>
      </c>
      <c r="W11" s="16" t="n">
        <v>3</v>
      </c>
      <c r="X11" s="16" t="n">
        <v>0</v>
      </c>
      <c r="Y11" s="16" t="n">
        <v>0</v>
      </c>
      <c r="Z11" s="16" t="n">
        <v>13</v>
      </c>
      <c r="AA11" s="16" t="n">
        <v>1</v>
      </c>
      <c r="AB11" s="16" t="n">
        <v>12</v>
      </c>
    </row>
    <row r="12">
      <c r="A12" s="14" t="inlineStr">
        <is>
          <t>SO</t>
        </is>
      </c>
      <c r="B12" s="16" t="n">
        <v>4</v>
      </c>
      <c r="C12" s="16" t="n">
        <v>61</v>
      </c>
      <c r="D12" s="16" t="n">
        <v>70</v>
      </c>
      <c r="E12" s="16" t="n">
        <v>13</v>
      </c>
      <c r="F12" s="16" t="n">
        <v>25</v>
      </c>
      <c r="G12" s="16" t="n">
        <v>1</v>
      </c>
      <c r="H12" s="16" t="n">
        <v>295</v>
      </c>
      <c r="I12" s="16" t="n">
        <v>296</v>
      </c>
      <c r="J12" s="16" t="n">
        <v>280</v>
      </c>
      <c r="K12" s="16" t="n">
        <v>287</v>
      </c>
      <c r="L12" s="15" t="n">
        <v>326</v>
      </c>
      <c r="M12" s="16" t="n">
        <v>14</v>
      </c>
      <c r="N12" s="16" t="n">
        <v>17</v>
      </c>
      <c r="O12" s="16" t="n">
        <v>13</v>
      </c>
      <c r="P12" s="16" t="n">
        <v>12</v>
      </c>
      <c r="Q12" s="16" t="n">
        <v>14</v>
      </c>
      <c r="R12" s="16" t="n">
        <v>49</v>
      </c>
      <c r="S12" s="16" t="n">
        <v>163</v>
      </c>
      <c r="T12" s="16" t="n">
        <v>7</v>
      </c>
      <c r="U12" s="16" t="n">
        <v>13</v>
      </c>
      <c r="V12" s="16" t="n">
        <v>4</v>
      </c>
      <c r="W12" s="16" t="n">
        <v>6</v>
      </c>
      <c r="X12" s="16" t="n">
        <v>0</v>
      </c>
      <c r="Y12" s="16" t="n">
        <v>1</v>
      </c>
      <c r="Z12" s="16" t="n">
        <v>12</v>
      </c>
      <c r="AA12" s="16" t="n">
        <v>1</v>
      </c>
      <c r="AB12" s="16" t="n">
        <v>16</v>
      </c>
    </row>
    <row r="13">
      <c r="A13" s="14" t="inlineStr">
        <is>
          <t>FSI</t>
        </is>
      </c>
      <c r="B13" s="16" t="n">
        <v>1</v>
      </c>
      <c r="C13" s="16" t="n">
        <v>13</v>
      </c>
      <c r="D13" s="16" t="n">
        <v>8</v>
      </c>
      <c r="E13" s="16" t="n">
        <v>2</v>
      </c>
      <c r="F13" s="16" t="n">
        <v>1</v>
      </c>
      <c r="G13" s="16" t="n">
        <v>0</v>
      </c>
      <c r="H13" s="16" t="n">
        <v>71</v>
      </c>
      <c r="I13" s="16" t="n">
        <v>36</v>
      </c>
      <c r="J13" s="16" t="n">
        <v>20</v>
      </c>
      <c r="K13" s="16" t="n">
        <v>15</v>
      </c>
      <c r="L13" s="16" t="n">
        <v>14</v>
      </c>
      <c r="M13" s="15" t="n">
        <v>320</v>
      </c>
      <c r="N13" s="16" t="n">
        <v>267</v>
      </c>
      <c r="O13" s="16" t="n">
        <v>279</v>
      </c>
      <c r="P13" s="16" t="n">
        <v>288</v>
      </c>
      <c r="Q13" s="16" t="n">
        <v>286</v>
      </c>
      <c r="R13" s="16" t="n">
        <v>107</v>
      </c>
      <c r="S13" s="16" t="n">
        <v>65</v>
      </c>
      <c r="T13" s="16" t="n">
        <v>25</v>
      </c>
      <c r="U13" s="16" t="n">
        <v>13</v>
      </c>
      <c r="V13" s="16" t="n">
        <v>11</v>
      </c>
      <c r="W13" s="16" t="n">
        <v>12</v>
      </c>
      <c r="X13" s="16" t="n">
        <v>0</v>
      </c>
      <c r="Y13" s="16" t="n">
        <v>3</v>
      </c>
      <c r="Z13" s="16" t="n">
        <v>22</v>
      </c>
      <c r="AA13" s="16" t="n">
        <v>5</v>
      </c>
      <c r="AB13" s="16" t="n">
        <v>42</v>
      </c>
    </row>
    <row r="14">
      <c r="A14" s="14" t="inlineStr">
        <is>
          <t>IPC</t>
        </is>
      </c>
      <c r="B14" s="16" t="n">
        <v>1</v>
      </c>
      <c r="C14" s="16" t="n">
        <v>10</v>
      </c>
      <c r="D14" s="16" t="n">
        <v>6</v>
      </c>
      <c r="E14" s="16" t="n">
        <v>2</v>
      </c>
      <c r="F14" s="16" t="n">
        <v>4</v>
      </c>
      <c r="G14" s="16" t="n">
        <v>0</v>
      </c>
      <c r="H14" s="16" t="n">
        <v>68</v>
      </c>
      <c r="I14" s="16" t="n">
        <v>36</v>
      </c>
      <c r="J14" s="16" t="n">
        <v>14</v>
      </c>
      <c r="K14" s="16" t="n">
        <v>19</v>
      </c>
      <c r="L14" s="16" t="n">
        <v>17</v>
      </c>
      <c r="M14" s="16" t="n">
        <v>267</v>
      </c>
      <c r="N14" s="15" t="n">
        <v>297</v>
      </c>
      <c r="O14" s="16" t="n">
        <v>267</v>
      </c>
      <c r="P14" s="16" t="n">
        <v>265</v>
      </c>
      <c r="Q14" s="16" t="n">
        <v>267</v>
      </c>
      <c r="R14" s="16" t="n">
        <v>101</v>
      </c>
      <c r="S14" s="16" t="n">
        <v>65</v>
      </c>
      <c r="T14" s="16" t="n">
        <v>25</v>
      </c>
      <c r="U14" s="16" t="n">
        <v>12</v>
      </c>
      <c r="V14" s="16" t="n">
        <v>11</v>
      </c>
      <c r="W14" s="16" t="n">
        <v>13</v>
      </c>
      <c r="X14" s="16" t="n">
        <v>0</v>
      </c>
      <c r="Y14" s="16" t="n">
        <v>3</v>
      </c>
      <c r="Z14" s="16" t="n">
        <v>22</v>
      </c>
      <c r="AA14" s="16" t="n">
        <v>4</v>
      </c>
      <c r="AB14" s="16" t="n">
        <v>40</v>
      </c>
    </row>
    <row r="15">
      <c r="A15" s="14" t="inlineStr">
        <is>
          <t>LBAW</t>
        </is>
      </c>
      <c r="B15" s="16" t="n">
        <v>0</v>
      </c>
      <c r="C15" s="16" t="n">
        <v>17</v>
      </c>
      <c r="D15" s="16" t="n">
        <v>3</v>
      </c>
      <c r="E15" s="16" t="n">
        <v>0</v>
      </c>
      <c r="F15" s="16" t="n">
        <v>5</v>
      </c>
      <c r="G15" s="16" t="n">
        <v>0</v>
      </c>
      <c r="H15" s="16" t="n">
        <v>76</v>
      </c>
      <c r="I15" s="16" t="n">
        <v>33</v>
      </c>
      <c r="J15" s="16" t="n">
        <v>19</v>
      </c>
      <c r="K15" s="16" t="n">
        <v>18</v>
      </c>
      <c r="L15" s="16" t="n">
        <v>13</v>
      </c>
      <c r="M15" s="16" t="n">
        <v>279</v>
      </c>
      <c r="N15" s="16" t="n">
        <v>267</v>
      </c>
      <c r="O15" s="15" t="n">
        <v>319</v>
      </c>
      <c r="P15" s="16" t="n">
        <v>286</v>
      </c>
      <c r="Q15" s="16" t="n">
        <v>291</v>
      </c>
      <c r="R15" s="16" t="n">
        <v>107</v>
      </c>
      <c r="S15" s="16" t="n">
        <v>66</v>
      </c>
      <c r="T15" s="16" t="n">
        <v>24</v>
      </c>
      <c r="U15" s="16" t="n">
        <v>13</v>
      </c>
      <c r="V15" s="16" t="n">
        <v>10</v>
      </c>
      <c r="W15" s="16" t="n">
        <v>13</v>
      </c>
      <c r="X15" s="16" t="n">
        <v>0</v>
      </c>
      <c r="Y15" s="16" t="n">
        <v>3</v>
      </c>
      <c r="Z15" s="16" t="n">
        <v>22</v>
      </c>
      <c r="AA15" s="16" t="n">
        <v>4</v>
      </c>
      <c r="AB15" s="16" t="n">
        <v>46</v>
      </c>
    </row>
    <row r="16">
      <c r="A16" s="14" t="inlineStr">
        <is>
          <t>PFL</t>
        </is>
      </c>
      <c r="B16" s="16" t="n">
        <v>0</v>
      </c>
      <c r="C16" s="16" t="n">
        <v>14</v>
      </c>
      <c r="D16" s="16" t="n">
        <v>8</v>
      </c>
      <c r="E16" s="16" t="n">
        <v>2</v>
      </c>
      <c r="F16" s="16" t="n">
        <v>4</v>
      </c>
      <c r="G16" s="16" t="n">
        <v>0</v>
      </c>
      <c r="H16" s="16" t="n">
        <v>76</v>
      </c>
      <c r="I16" s="16" t="n">
        <v>30</v>
      </c>
      <c r="J16" s="16" t="n">
        <v>19</v>
      </c>
      <c r="K16" s="16" t="n">
        <v>13</v>
      </c>
      <c r="L16" s="16" t="n">
        <v>12</v>
      </c>
      <c r="M16" s="16" t="n">
        <v>288</v>
      </c>
      <c r="N16" s="16" t="n">
        <v>265</v>
      </c>
      <c r="O16" s="16" t="n">
        <v>286</v>
      </c>
      <c r="P16" s="15" t="n">
        <v>368</v>
      </c>
      <c r="Q16" s="16" t="n">
        <v>295</v>
      </c>
      <c r="R16" s="16" t="n">
        <v>108</v>
      </c>
      <c r="S16" s="16" t="n">
        <v>68</v>
      </c>
      <c r="T16" s="16" t="n">
        <v>25</v>
      </c>
      <c r="U16" s="16" t="n">
        <v>13</v>
      </c>
      <c r="V16" s="16" t="n">
        <v>12</v>
      </c>
      <c r="W16" s="16" t="n">
        <v>13</v>
      </c>
      <c r="X16" s="16" t="n">
        <v>0</v>
      </c>
      <c r="Y16" s="16" t="n">
        <v>3</v>
      </c>
      <c r="Z16" s="16" t="n">
        <v>23</v>
      </c>
      <c r="AA16" s="16" t="n">
        <v>3</v>
      </c>
      <c r="AB16" s="16" t="n">
        <v>48</v>
      </c>
    </row>
    <row r="17">
      <c r="A17" s="14" t="inlineStr">
        <is>
          <t>RC</t>
        </is>
      </c>
      <c r="B17" s="16" t="n">
        <v>1</v>
      </c>
      <c r="C17" s="16" t="n">
        <v>15</v>
      </c>
      <c r="D17" s="16" t="n">
        <v>7</v>
      </c>
      <c r="E17" s="16" t="n">
        <v>1</v>
      </c>
      <c r="F17" s="16" t="n">
        <v>1</v>
      </c>
      <c r="G17" s="16" t="n">
        <v>0</v>
      </c>
      <c r="H17" s="16" t="n">
        <v>80</v>
      </c>
      <c r="I17" s="16" t="n">
        <v>36</v>
      </c>
      <c r="J17" s="16" t="n">
        <v>26</v>
      </c>
      <c r="K17" s="16" t="n">
        <v>18</v>
      </c>
      <c r="L17" s="16" t="n">
        <v>14</v>
      </c>
      <c r="M17" s="16" t="n">
        <v>286</v>
      </c>
      <c r="N17" s="16" t="n">
        <v>267</v>
      </c>
      <c r="O17" s="16" t="n">
        <v>291</v>
      </c>
      <c r="P17" s="16" t="n">
        <v>295</v>
      </c>
      <c r="Q17" s="15" t="n">
        <v>331</v>
      </c>
      <c r="R17" s="16" t="n">
        <v>107</v>
      </c>
      <c r="S17" s="16" t="n">
        <v>69</v>
      </c>
      <c r="T17" s="16" t="n">
        <v>24</v>
      </c>
      <c r="U17" s="16" t="n">
        <v>13</v>
      </c>
      <c r="V17" s="16" t="n">
        <v>9</v>
      </c>
      <c r="W17" s="16" t="n">
        <v>14</v>
      </c>
      <c r="X17" s="16" t="n">
        <v>0</v>
      </c>
      <c r="Y17" s="16" t="n">
        <v>2</v>
      </c>
      <c r="Z17" s="16" t="n">
        <v>22</v>
      </c>
      <c r="AA17" s="16" t="n">
        <v>3</v>
      </c>
      <c r="AB17" s="16" t="n">
        <v>44</v>
      </c>
    </row>
    <row r="18">
      <c r="A18" s="14" t="inlineStr">
        <is>
          <t>IADE</t>
        </is>
      </c>
      <c r="B18" s="16" t="n">
        <v>2</v>
      </c>
      <c r="C18" s="16" t="n">
        <v>28</v>
      </c>
      <c r="D18" s="16" t="n">
        <v>24</v>
      </c>
      <c r="E18" s="16" t="n">
        <v>4</v>
      </c>
      <c r="F18" s="16" t="n">
        <v>13</v>
      </c>
      <c r="G18" s="16" t="n">
        <v>0</v>
      </c>
      <c r="H18" s="16" t="n">
        <v>73</v>
      </c>
      <c r="I18" s="16" t="n">
        <v>68</v>
      </c>
      <c r="J18" s="16" t="n">
        <v>53</v>
      </c>
      <c r="K18" s="16" t="n">
        <v>49</v>
      </c>
      <c r="L18" s="16" t="n">
        <v>49</v>
      </c>
      <c r="M18" s="16" t="n">
        <v>107</v>
      </c>
      <c r="N18" s="16" t="n">
        <v>101</v>
      </c>
      <c r="O18" s="16" t="n">
        <v>107</v>
      </c>
      <c r="P18" s="16" t="n">
        <v>108</v>
      </c>
      <c r="Q18" s="16" t="n">
        <v>107</v>
      </c>
      <c r="R18" s="15" t="n">
        <v>563</v>
      </c>
      <c r="S18" s="16" t="n">
        <v>84</v>
      </c>
      <c r="T18" s="16" t="n">
        <v>4</v>
      </c>
      <c r="U18" s="16" t="n">
        <v>2</v>
      </c>
      <c r="V18" s="16" t="n">
        <v>0</v>
      </c>
      <c r="W18" s="16" t="n">
        <v>31</v>
      </c>
      <c r="X18" s="16" t="n">
        <v>0</v>
      </c>
      <c r="Y18" s="16" t="n">
        <v>5</v>
      </c>
      <c r="Z18" s="16" t="n">
        <v>10</v>
      </c>
      <c r="AA18" s="16" t="n">
        <v>16</v>
      </c>
      <c r="AB18" s="16" t="n">
        <v>40</v>
      </c>
    </row>
    <row r="19">
      <c r="A19" s="14" t="inlineStr">
        <is>
          <t>IADP</t>
        </is>
      </c>
      <c r="B19" s="16" t="n">
        <v>1</v>
      </c>
      <c r="C19" s="16" t="n">
        <v>21</v>
      </c>
      <c r="D19" s="16" t="n">
        <v>28</v>
      </c>
      <c r="E19" s="16" t="n">
        <v>6</v>
      </c>
      <c r="F19" s="16" t="n">
        <v>8</v>
      </c>
      <c r="G19" s="16" t="n">
        <v>0</v>
      </c>
      <c r="H19" s="16" t="n">
        <v>189</v>
      </c>
      <c r="I19" s="16" t="n">
        <v>174</v>
      </c>
      <c r="J19" s="16" t="n">
        <v>162</v>
      </c>
      <c r="K19" s="16" t="n">
        <v>164</v>
      </c>
      <c r="L19" s="16" t="n">
        <v>163</v>
      </c>
      <c r="M19" s="16" t="n">
        <v>65</v>
      </c>
      <c r="N19" s="16" t="n">
        <v>65</v>
      </c>
      <c r="O19" s="16" t="n">
        <v>66</v>
      </c>
      <c r="P19" s="16" t="n">
        <v>68</v>
      </c>
      <c r="Q19" s="16" t="n">
        <v>69</v>
      </c>
      <c r="R19" s="16" t="n">
        <v>84</v>
      </c>
      <c r="S19" s="15" t="n">
        <v>500</v>
      </c>
      <c r="T19" s="16" t="n">
        <v>5</v>
      </c>
      <c r="U19" s="16" t="n">
        <v>0</v>
      </c>
      <c r="V19" s="16" t="n">
        <v>1</v>
      </c>
      <c r="W19" s="16" t="n">
        <v>5</v>
      </c>
      <c r="X19" s="16" t="n">
        <v>0</v>
      </c>
      <c r="Y19" s="16" t="n">
        <v>0</v>
      </c>
      <c r="Z19" s="16" t="n">
        <v>15</v>
      </c>
      <c r="AA19" s="16" t="n">
        <v>8</v>
      </c>
      <c r="AB19" s="16" t="n">
        <v>17</v>
      </c>
    </row>
    <row r="20">
      <c r="A20" s="14" t="inlineStr">
        <is>
          <t>IR</t>
        </is>
      </c>
      <c r="B20" s="16" t="n">
        <v>0</v>
      </c>
      <c r="C20" s="16" t="n">
        <v>1</v>
      </c>
      <c r="D20" s="16" t="n">
        <v>1</v>
      </c>
      <c r="E20" s="16" t="n">
        <v>0</v>
      </c>
      <c r="F20" s="16" t="n">
        <v>1</v>
      </c>
      <c r="G20" s="16" t="n">
        <v>0</v>
      </c>
      <c r="H20" s="16" t="n">
        <v>7</v>
      </c>
      <c r="I20" s="16" t="n">
        <v>8</v>
      </c>
      <c r="J20" s="16" t="n">
        <v>6</v>
      </c>
      <c r="K20" s="16" t="n">
        <v>7</v>
      </c>
      <c r="L20" s="16" t="n">
        <v>7</v>
      </c>
      <c r="M20" s="16" t="n">
        <v>25</v>
      </c>
      <c r="N20" s="16" t="n">
        <v>25</v>
      </c>
      <c r="O20" s="16" t="n">
        <v>24</v>
      </c>
      <c r="P20" s="16" t="n">
        <v>25</v>
      </c>
      <c r="Q20" s="16" t="n">
        <v>24</v>
      </c>
      <c r="R20" s="16" t="n">
        <v>4</v>
      </c>
      <c r="S20" s="16" t="n">
        <v>5</v>
      </c>
      <c r="T20" s="15" t="n">
        <v>47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</row>
    <row r="21">
      <c r="A21" s="14" t="inlineStr">
        <is>
          <t>MPSAC</t>
        </is>
      </c>
      <c r="B21" s="16" t="n">
        <v>0</v>
      </c>
      <c r="C21" s="16" t="n">
        <v>0</v>
      </c>
      <c r="D21" s="16" t="n">
        <v>1</v>
      </c>
      <c r="E21" s="16" t="n">
        <v>0</v>
      </c>
      <c r="F21" s="16" t="n">
        <v>0</v>
      </c>
      <c r="G21" s="16" t="n">
        <v>0</v>
      </c>
      <c r="H21" s="16" t="n">
        <v>16</v>
      </c>
      <c r="I21" s="16" t="n">
        <v>13</v>
      </c>
      <c r="J21" s="16" t="n">
        <v>13</v>
      </c>
      <c r="K21" s="16" t="n">
        <v>14</v>
      </c>
      <c r="L21" s="16" t="n">
        <v>13</v>
      </c>
      <c r="M21" s="16" t="n">
        <v>13</v>
      </c>
      <c r="N21" s="16" t="n">
        <v>12</v>
      </c>
      <c r="O21" s="16" t="n">
        <v>13</v>
      </c>
      <c r="P21" s="16" t="n">
        <v>13</v>
      </c>
      <c r="Q21" s="16" t="n">
        <v>13</v>
      </c>
      <c r="R21" s="16" t="n">
        <v>2</v>
      </c>
      <c r="S21" s="16" t="n">
        <v>0</v>
      </c>
      <c r="T21" s="16" t="n">
        <v>0</v>
      </c>
      <c r="U21" s="15" t="n">
        <v>30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</row>
    <row r="22">
      <c r="A22" s="14" t="inlineStr">
        <is>
          <t>AADL</t>
        </is>
      </c>
      <c r="B22" s="16" t="n">
        <v>0</v>
      </c>
      <c r="C22" s="16" t="n">
        <v>0</v>
      </c>
      <c r="D22" s="16" t="n">
        <v>0</v>
      </c>
      <c r="E22" s="16" t="n">
        <v>0</v>
      </c>
      <c r="F22" s="16" t="n">
        <v>1</v>
      </c>
      <c r="G22" s="16" t="n">
        <v>0</v>
      </c>
      <c r="H22" s="16" t="n">
        <v>4</v>
      </c>
      <c r="I22" s="16" t="n">
        <v>5</v>
      </c>
      <c r="J22" s="16" t="n">
        <v>5</v>
      </c>
      <c r="K22" s="16" t="n">
        <v>4</v>
      </c>
      <c r="L22" s="16" t="n">
        <v>4</v>
      </c>
      <c r="M22" s="16" t="n">
        <v>11</v>
      </c>
      <c r="N22" s="16" t="n">
        <v>11</v>
      </c>
      <c r="O22" s="16" t="n">
        <v>10</v>
      </c>
      <c r="P22" s="16" t="n">
        <v>12</v>
      </c>
      <c r="Q22" s="16" t="n">
        <v>9</v>
      </c>
      <c r="R22" s="16" t="n">
        <v>0</v>
      </c>
      <c r="S22" s="16" t="n">
        <v>1</v>
      </c>
      <c r="T22" s="16" t="n">
        <v>0</v>
      </c>
      <c r="U22" s="16" t="n">
        <v>0</v>
      </c>
      <c r="V22" s="15" t="n">
        <v>29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1</v>
      </c>
    </row>
    <row r="23">
      <c r="A23" s="14" t="inlineStr">
        <is>
          <t>DDS</t>
        </is>
      </c>
      <c r="B23" s="16" t="n">
        <v>0</v>
      </c>
      <c r="C23" s="16" t="n">
        <v>2</v>
      </c>
      <c r="D23" s="16" t="n">
        <v>2</v>
      </c>
      <c r="E23" s="16" t="n">
        <v>2</v>
      </c>
      <c r="F23" s="16" t="n">
        <v>1</v>
      </c>
      <c r="G23" s="16" t="n">
        <v>0</v>
      </c>
      <c r="H23" s="16" t="n">
        <v>11</v>
      </c>
      <c r="I23" s="16" t="n">
        <v>9</v>
      </c>
      <c r="J23" s="16" t="n">
        <v>4</v>
      </c>
      <c r="K23" s="16" t="n">
        <v>3</v>
      </c>
      <c r="L23" s="16" t="n">
        <v>6</v>
      </c>
      <c r="M23" s="16" t="n">
        <v>12</v>
      </c>
      <c r="N23" s="16" t="n">
        <v>13</v>
      </c>
      <c r="O23" s="16" t="n">
        <v>13</v>
      </c>
      <c r="P23" s="16" t="n">
        <v>13</v>
      </c>
      <c r="Q23" s="16" t="n">
        <v>14</v>
      </c>
      <c r="R23" s="16" t="n">
        <v>31</v>
      </c>
      <c r="S23" s="16" t="n">
        <v>5</v>
      </c>
      <c r="T23" s="16" t="n">
        <v>0</v>
      </c>
      <c r="U23" s="16" t="n">
        <v>0</v>
      </c>
      <c r="V23" s="16" t="n">
        <v>0</v>
      </c>
      <c r="W23" s="15" t="n">
        <v>181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</row>
    <row r="24">
      <c r="A24" s="14" t="inlineStr">
        <is>
          <t>MTIL</t>
        </is>
      </c>
      <c r="B24" s="16" t="n">
        <v>0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5" t="n">
        <v>12</v>
      </c>
      <c r="Y24" s="16" t="n">
        <v>0</v>
      </c>
      <c r="Z24" s="16" t="n">
        <v>0</v>
      </c>
      <c r="AA24" s="16" t="n">
        <v>0</v>
      </c>
      <c r="AB24" s="16" t="n">
        <v>0</v>
      </c>
    </row>
    <row r="25">
      <c r="A25" s="14" t="inlineStr">
        <is>
          <t>SAFE</t>
        </is>
      </c>
      <c r="B25" s="16" t="n">
        <v>0</v>
      </c>
      <c r="C25" s="16" t="n">
        <v>0</v>
      </c>
      <c r="D25" s="16" t="n">
        <v>1</v>
      </c>
      <c r="E25" s="16" t="n">
        <v>0</v>
      </c>
      <c r="F25" s="16" t="n">
        <v>0</v>
      </c>
      <c r="G25" s="16" t="n">
        <v>0</v>
      </c>
      <c r="H25" s="16" t="n">
        <v>2</v>
      </c>
      <c r="I25" s="16" t="n">
        <v>2</v>
      </c>
      <c r="J25" s="16" t="n">
        <v>1</v>
      </c>
      <c r="K25" s="16" t="n">
        <v>0</v>
      </c>
      <c r="L25" s="16" t="n">
        <v>1</v>
      </c>
      <c r="M25" s="16" t="n">
        <v>3</v>
      </c>
      <c r="N25" s="16" t="n">
        <v>3</v>
      </c>
      <c r="O25" s="16" t="n">
        <v>3</v>
      </c>
      <c r="P25" s="16" t="n">
        <v>3</v>
      </c>
      <c r="Q25" s="16" t="n">
        <v>2</v>
      </c>
      <c r="R25" s="16" t="n">
        <v>5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5" t="n">
        <v>30</v>
      </c>
      <c r="Z25" s="16" t="n">
        <v>0</v>
      </c>
      <c r="AA25" s="16" t="n">
        <v>1</v>
      </c>
      <c r="AB25" s="16" t="n">
        <v>0</v>
      </c>
    </row>
    <row r="26">
      <c r="A26" s="14" t="inlineStr">
        <is>
          <t>IMQ</t>
        </is>
      </c>
      <c r="B26" s="16" t="n">
        <v>0</v>
      </c>
      <c r="C26" s="16" t="n">
        <v>3</v>
      </c>
      <c r="D26" s="16" t="n">
        <v>2</v>
      </c>
      <c r="E26" s="16" t="n">
        <v>0</v>
      </c>
      <c r="F26" s="16" t="n">
        <v>2</v>
      </c>
      <c r="G26" s="16" t="n">
        <v>0</v>
      </c>
      <c r="H26" s="16" t="n">
        <v>14</v>
      </c>
      <c r="I26" s="16" t="n">
        <v>14</v>
      </c>
      <c r="J26" s="16" t="n">
        <v>11</v>
      </c>
      <c r="K26" s="16" t="n">
        <v>13</v>
      </c>
      <c r="L26" s="16" t="n">
        <v>12</v>
      </c>
      <c r="M26" s="16" t="n">
        <v>22</v>
      </c>
      <c r="N26" s="16" t="n">
        <v>22</v>
      </c>
      <c r="O26" s="16" t="n">
        <v>22</v>
      </c>
      <c r="P26" s="16" t="n">
        <v>23</v>
      </c>
      <c r="Q26" s="16" t="n">
        <v>22</v>
      </c>
      <c r="R26" s="16" t="n">
        <v>10</v>
      </c>
      <c r="S26" s="16" t="n">
        <v>15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5" t="n">
        <v>98</v>
      </c>
      <c r="AA26" s="16" t="n">
        <v>0</v>
      </c>
      <c r="AB26" s="16" t="n">
        <v>1</v>
      </c>
    </row>
    <row r="27">
      <c r="A27" s="14" t="inlineStr">
        <is>
          <t>RNMOG01</t>
        </is>
      </c>
      <c r="B27" s="16" t="n">
        <v>0</v>
      </c>
      <c r="C27" s="16" t="n">
        <v>1</v>
      </c>
      <c r="D27" s="16" t="n">
        <v>1</v>
      </c>
      <c r="E27" s="16" t="n">
        <v>0</v>
      </c>
      <c r="F27" s="16" t="n">
        <v>0</v>
      </c>
      <c r="G27" s="16" t="n">
        <v>0</v>
      </c>
      <c r="H27" s="16" t="n">
        <v>4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5</v>
      </c>
      <c r="N27" s="16" t="n">
        <v>4</v>
      </c>
      <c r="O27" s="16" t="n">
        <v>4</v>
      </c>
      <c r="P27" s="16" t="n">
        <v>3</v>
      </c>
      <c r="Q27" s="16" t="n">
        <v>3</v>
      </c>
      <c r="R27" s="16" t="n">
        <v>16</v>
      </c>
      <c r="S27" s="16" t="n">
        <v>8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1</v>
      </c>
      <c r="Z27" s="16" t="n">
        <v>0</v>
      </c>
      <c r="AA27" s="15" t="n">
        <v>96</v>
      </c>
      <c r="AB27" s="16" t="n">
        <v>0</v>
      </c>
    </row>
    <row r="28">
      <c r="A28" s="14" t="inlineStr">
        <is>
          <t>CTLGE01</t>
        </is>
      </c>
      <c r="B28" s="16" t="n">
        <v>0</v>
      </c>
      <c r="C28" s="16" t="n">
        <v>9</v>
      </c>
      <c r="D28" s="16" t="n">
        <v>8</v>
      </c>
      <c r="E28" s="16" t="n">
        <v>0</v>
      </c>
      <c r="F28" s="16" t="n">
        <v>4</v>
      </c>
      <c r="G28" s="16" t="n">
        <v>0</v>
      </c>
      <c r="H28" s="16" t="n">
        <v>31</v>
      </c>
      <c r="I28" s="16" t="n">
        <v>23</v>
      </c>
      <c r="J28" s="16" t="n">
        <v>15</v>
      </c>
      <c r="K28" s="16" t="n">
        <v>12</v>
      </c>
      <c r="L28" s="16" t="n">
        <v>16</v>
      </c>
      <c r="M28" s="16" t="n">
        <v>42</v>
      </c>
      <c r="N28" s="16" t="n">
        <v>40</v>
      </c>
      <c r="O28" s="16" t="n">
        <v>46</v>
      </c>
      <c r="P28" s="16" t="n">
        <v>48</v>
      </c>
      <c r="Q28" s="16" t="n">
        <v>44</v>
      </c>
      <c r="R28" s="16" t="n">
        <v>40</v>
      </c>
      <c r="S28" s="16" t="n">
        <v>17</v>
      </c>
      <c r="T28" s="16" t="n">
        <v>0</v>
      </c>
      <c r="U28" s="16" t="n">
        <v>0</v>
      </c>
      <c r="V28" s="16" t="n">
        <v>1</v>
      </c>
      <c r="W28" s="16" t="n">
        <v>0</v>
      </c>
      <c r="X28" s="16" t="n">
        <v>0</v>
      </c>
      <c r="Y28" s="16" t="n">
        <v>0</v>
      </c>
      <c r="Z28" s="16" t="n">
        <v>1</v>
      </c>
      <c r="AA28" s="16" t="n">
        <v>0</v>
      </c>
      <c r="AB28" s="15" t="n">
        <v>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AC</t>
        </is>
      </c>
      <c r="B2" s="12" t="b">
        <v>0</v>
      </c>
      <c r="C2" s="13" t="n"/>
      <c r="D2" s="12" t="n">
        <v>1</v>
      </c>
    </row>
    <row r="3">
      <c r="A3" s="12" t="inlineStr">
        <is>
          <t>AM II</t>
        </is>
      </c>
      <c r="B3" s="12" t="b">
        <v>0</v>
      </c>
      <c r="C3" s="13" t="n"/>
      <c r="D3" s="12" t="n">
        <v>1</v>
      </c>
    </row>
    <row r="4">
      <c r="A4" s="12" t="inlineStr">
        <is>
          <t>F I</t>
        </is>
      </c>
      <c r="B4" s="12" t="b">
        <v>0</v>
      </c>
      <c r="C4" s="13" t="n"/>
      <c r="D4" s="12" t="n">
        <v>1</v>
      </c>
    </row>
    <row r="5">
      <c r="A5" s="12" t="inlineStr">
        <is>
          <t>P</t>
        </is>
      </c>
      <c r="B5" s="12" t="b">
        <v>0</v>
      </c>
      <c r="C5" s="13" t="n"/>
      <c r="D5" s="12" t="n">
        <v>1</v>
      </c>
    </row>
    <row r="6">
      <c r="A6" s="12" t="inlineStr">
        <is>
          <t>TC</t>
        </is>
      </c>
      <c r="B6" s="12" t="b">
        <v>0</v>
      </c>
      <c r="C6" s="13" t="n"/>
      <c r="D6" s="12" t="n">
        <v>1</v>
      </c>
    </row>
    <row r="7">
      <c r="A7" s="12" t="inlineStr">
        <is>
          <t>DA</t>
        </is>
      </c>
      <c r="B7" s="12" t="b">
        <v>0</v>
      </c>
      <c r="C7" s="13" t="n"/>
      <c r="D7" s="12" t="n">
        <v>2</v>
      </c>
    </row>
    <row r="8">
      <c r="A8" s="12" t="inlineStr">
        <is>
          <t>ES</t>
        </is>
      </c>
      <c r="B8" s="12" t="b">
        <v>0</v>
      </c>
      <c r="C8" s="13" t="n"/>
      <c r="D8" s="12" t="n">
        <v>2</v>
      </c>
    </row>
    <row r="9">
      <c r="A9" s="12" t="inlineStr">
        <is>
          <t>LC</t>
        </is>
      </c>
      <c r="B9" s="12" t="b">
        <v>0</v>
      </c>
      <c r="C9" s="13" t="n"/>
      <c r="D9" s="12" t="n">
        <v>2</v>
      </c>
    </row>
    <row r="10">
      <c r="A10" s="12" t="inlineStr">
        <is>
          <t>LTW</t>
        </is>
      </c>
      <c r="B10" s="12" t="b">
        <v>0</v>
      </c>
      <c r="C10" s="13" t="n"/>
      <c r="D10" s="12" t="n">
        <v>2</v>
      </c>
    </row>
    <row r="11">
      <c r="A11" s="12" t="inlineStr">
        <is>
          <t>ME</t>
        </is>
      </c>
      <c r="B11" s="12" t="b">
        <v>0</v>
      </c>
      <c r="C11" s="13" t="n"/>
      <c r="D11" s="12" t="n">
        <v>2</v>
      </c>
    </row>
    <row r="12">
      <c r="A12" s="12" t="inlineStr">
        <is>
          <t>C</t>
        </is>
      </c>
      <c r="B12" s="12" t="b">
        <v>0</v>
      </c>
      <c r="C12" s="13" t="n"/>
      <c r="D12" s="12" t="n">
        <v>3</v>
      </c>
    </row>
    <row r="13">
      <c r="A13" s="12" t="inlineStr">
        <is>
          <t>CG</t>
        </is>
      </c>
      <c r="B13" s="12" t="b">
        <v>0</v>
      </c>
      <c r="C13" s="13" t="n"/>
      <c r="D13" s="12" t="n">
        <v>3</v>
      </c>
    </row>
    <row r="14">
      <c r="A14" s="12" t="inlineStr">
        <is>
          <t>CPD</t>
        </is>
      </c>
      <c r="B14" s="12" t="b">
        <v>0</v>
      </c>
      <c r="C14" s="13" t="n"/>
      <c r="D14" s="12" t="n">
        <v>3</v>
      </c>
    </row>
    <row r="15">
      <c r="A15" s="12" t="inlineStr">
        <is>
          <t>IA</t>
        </is>
      </c>
      <c r="B15" s="12" t="b">
        <v>0</v>
      </c>
      <c r="C15" s="13" t="n"/>
      <c r="D15" s="12" t="n">
        <v>3</v>
      </c>
    </row>
    <row r="16">
      <c r="A16" s="12" t="inlineStr">
        <is>
          <t>PI</t>
        </is>
      </c>
      <c r="B16" s="12" t="b">
        <v>0</v>
      </c>
      <c r="C16" s="13" t="n"/>
      <c r="D16" s="12" t="n">
        <v>3</v>
      </c>
    </row>
    <row r="17">
      <c r="A17" s="12" t="inlineStr">
        <is>
          <t>CP</t>
        </is>
      </c>
      <c r="B17" s="12" t="b">
        <v>0</v>
      </c>
      <c r="C17" s="13" t="n"/>
      <c r="D17" s="12" t="n">
        <v>2</v>
      </c>
    </row>
  </sheetData>
  <dataValidations count="2">
    <dataValidation sqref="B2:B17" showDropDown="0" showInputMessage="0" showErrorMessage="0" allowBlank="1" type="list">
      <formula1>"TRUE,FALSE"</formula1>
    </dataValidation>
    <dataValidation sqref="C2:C1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4" t="inlineStr">
        <is>
          <t>UC \ UC</t>
        </is>
      </c>
      <c r="B1" s="14" t="inlineStr">
        <is>
          <t>AC</t>
        </is>
      </c>
      <c r="C1" s="14" t="inlineStr">
        <is>
          <t>AM II</t>
        </is>
      </c>
      <c r="D1" s="14" t="inlineStr">
        <is>
          <t>F I</t>
        </is>
      </c>
      <c r="E1" s="14" t="inlineStr">
        <is>
          <t>P</t>
        </is>
      </c>
      <c r="F1" s="14" t="inlineStr">
        <is>
          <t>TC</t>
        </is>
      </c>
      <c r="G1" s="14" t="inlineStr">
        <is>
          <t>DA</t>
        </is>
      </c>
      <c r="H1" s="14" t="inlineStr">
        <is>
          <t>ES</t>
        </is>
      </c>
      <c r="I1" s="14" t="inlineStr">
        <is>
          <t>LC</t>
        </is>
      </c>
      <c r="J1" s="14" t="inlineStr">
        <is>
          <t>LTW</t>
        </is>
      </c>
      <c r="K1" s="14" t="inlineStr">
        <is>
          <t>ME</t>
        </is>
      </c>
      <c r="L1" s="14" t="inlineStr">
        <is>
          <t>C</t>
        </is>
      </c>
      <c r="M1" s="14" t="inlineStr">
        <is>
          <t>CG</t>
        </is>
      </c>
      <c r="N1" s="14" t="inlineStr">
        <is>
          <t>CPD</t>
        </is>
      </c>
      <c r="O1" s="14" t="inlineStr">
        <is>
          <t>IA</t>
        </is>
      </c>
      <c r="P1" s="14" t="inlineStr">
        <is>
          <t>PI</t>
        </is>
      </c>
      <c r="Q1" s="14" t="inlineStr">
        <is>
          <t>CP</t>
        </is>
      </c>
    </row>
    <row r="2">
      <c r="A2" s="14" t="inlineStr">
        <is>
          <t>AC</t>
        </is>
      </c>
      <c r="B2" s="15" t="n">
        <v>391</v>
      </c>
      <c r="C2" s="16" t="n">
        <v>344</v>
      </c>
      <c r="D2" s="16" t="n">
        <v>351</v>
      </c>
      <c r="E2" s="16" t="n">
        <v>360</v>
      </c>
      <c r="F2" s="16" t="n">
        <v>351</v>
      </c>
      <c r="G2" s="16" t="n">
        <v>33</v>
      </c>
      <c r="H2" s="16" t="n">
        <v>32</v>
      </c>
      <c r="I2" s="16" t="n">
        <v>32</v>
      </c>
      <c r="J2" s="16" t="n">
        <v>39</v>
      </c>
      <c r="K2" s="16" t="n">
        <v>35</v>
      </c>
      <c r="L2" s="16" t="n">
        <v>6</v>
      </c>
      <c r="M2" s="16" t="n">
        <v>6</v>
      </c>
      <c r="N2" s="16" t="n">
        <v>6</v>
      </c>
      <c r="O2" s="16" t="n">
        <v>6</v>
      </c>
      <c r="P2" s="16" t="n">
        <v>6</v>
      </c>
      <c r="Q2" s="16" t="n">
        <v>22</v>
      </c>
    </row>
    <row r="3">
      <c r="A3" s="14" t="inlineStr">
        <is>
          <t>AM II</t>
        </is>
      </c>
      <c r="B3" s="16" t="n">
        <v>344</v>
      </c>
      <c r="C3" s="15" t="n">
        <v>407</v>
      </c>
      <c r="D3" s="16" t="n">
        <v>355</v>
      </c>
      <c r="E3" s="16" t="n">
        <v>360</v>
      </c>
      <c r="F3" s="16" t="n">
        <v>342</v>
      </c>
      <c r="G3" s="16" t="n">
        <v>43</v>
      </c>
      <c r="H3" s="16" t="n">
        <v>46</v>
      </c>
      <c r="I3" s="16" t="n">
        <v>43</v>
      </c>
      <c r="J3" s="16" t="n">
        <v>47</v>
      </c>
      <c r="K3" s="16" t="n">
        <v>52</v>
      </c>
      <c r="L3" s="16" t="n">
        <v>16</v>
      </c>
      <c r="M3" s="16" t="n">
        <v>14</v>
      </c>
      <c r="N3" s="16" t="n">
        <v>13</v>
      </c>
      <c r="O3" s="16" t="n">
        <v>20</v>
      </c>
      <c r="P3" s="16" t="n">
        <v>11</v>
      </c>
      <c r="Q3" s="16" t="n">
        <v>30</v>
      </c>
    </row>
    <row r="4">
      <c r="A4" s="14" t="inlineStr">
        <is>
          <t>F I</t>
        </is>
      </c>
      <c r="B4" s="16" t="n">
        <v>351</v>
      </c>
      <c r="C4" s="16" t="n">
        <v>355</v>
      </c>
      <c r="D4" s="15" t="n">
        <v>408</v>
      </c>
      <c r="E4" s="16" t="n">
        <v>362</v>
      </c>
      <c r="F4" s="16" t="n">
        <v>342</v>
      </c>
      <c r="G4" s="16" t="n">
        <v>41</v>
      </c>
      <c r="H4" s="16" t="n">
        <v>35</v>
      </c>
      <c r="I4" s="16" t="n">
        <v>43</v>
      </c>
      <c r="J4" s="16" t="n">
        <v>39</v>
      </c>
      <c r="K4" s="16" t="n">
        <v>43</v>
      </c>
      <c r="L4" s="16" t="n">
        <v>18</v>
      </c>
      <c r="M4" s="16" t="n">
        <v>22</v>
      </c>
      <c r="N4" s="16" t="n">
        <v>19</v>
      </c>
      <c r="O4" s="16" t="n">
        <v>20</v>
      </c>
      <c r="P4" s="16" t="n">
        <v>14</v>
      </c>
      <c r="Q4" s="16" t="n">
        <v>24</v>
      </c>
    </row>
    <row r="5">
      <c r="A5" s="14" t="inlineStr">
        <is>
          <t>P</t>
        </is>
      </c>
      <c r="B5" s="16" t="n">
        <v>360</v>
      </c>
      <c r="C5" s="16" t="n">
        <v>360</v>
      </c>
      <c r="D5" s="16" t="n">
        <v>362</v>
      </c>
      <c r="E5" s="15" t="n">
        <v>450</v>
      </c>
      <c r="F5" s="16" t="n">
        <v>359</v>
      </c>
      <c r="G5" s="16" t="n">
        <v>75</v>
      </c>
      <c r="H5" s="16" t="n">
        <v>74</v>
      </c>
      <c r="I5" s="16" t="n">
        <v>69</v>
      </c>
      <c r="J5" s="16" t="n">
        <v>84</v>
      </c>
      <c r="K5" s="16" t="n">
        <v>69</v>
      </c>
      <c r="L5" s="16" t="n">
        <v>10</v>
      </c>
      <c r="M5" s="16" t="n">
        <v>20</v>
      </c>
      <c r="N5" s="16" t="n">
        <v>13</v>
      </c>
      <c r="O5" s="16" t="n">
        <v>19</v>
      </c>
      <c r="P5" s="16" t="n">
        <v>9</v>
      </c>
      <c r="Q5" s="16" t="n">
        <v>54</v>
      </c>
    </row>
    <row r="6">
      <c r="A6" s="14" t="inlineStr">
        <is>
          <t>TC</t>
        </is>
      </c>
      <c r="B6" s="16" t="n">
        <v>351</v>
      </c>
      <c r="C6" s="16" t="n">
        <v>342</v>
      </c>
      <c r="D6" s="16" t="n">
        <v>342</v>
      </c>
      <c r="E6" s="16" t="n">
        <v>359</v>
      </c>
      <c r="F6" s="15" t="n">
        <v>376</v>
      </c>
      <c r="G6" s="16" t="n">
        <v>26</v>
      </c>
      <c r="H6" s="16" t="n">
        <v>25</v>
      </c>
      <c r="I6" s="16" t="n">
        <v>19</v>
      </c>
      <c r="J6" s="16" t="n">
        <v>30</v>
      </c>
      <c r="K6" s="16" t="n">
        <v>27</v>
      </c>
      <c r="L6" s="16" t="n">
        <v>6</v>
      </c>
      <c r="M6" s="16" t="n">
        <v>5</v>
      </c>
      <c r="N6" s="16" t="n">
        <v>7</v>
      </c>
      <c r="O6" s="16" t="n">
        <v>6</v>
      </c>
      <c r="P6" s="16" t="n">
        <v>1</v>
      </c>
      <c r="Q6" s="16" t="n">
        <v>14</v>
      </c>
    </row>
    <row r="7">
      <c r="A7" s="14" t="inlineStr">
        <is>
          <t>DA</t>
        </is>
      </c>
      <c r="B7" s="16" t="n">
        <v>33</v>
      </c>
      <c r="C7" s="16" t="n">
        <v>43</v>
      </c>
      <c r="D7" s="16" t="n">
        <v>41</v>
      </c>
      <c r="E7" s="16" t="n">
        <v>75</v>
      </c>
      <c r="F7" s="16" t="n">
        <v>26</v>
      </c>
      <c r="G7" s="15" t="n">
        <v>350</v>
      </c>
      <c r="H7" s="16" t="n">
        <v>287</v>
      </c>
      <c r="I7" s="16" t="n">
        <v>293</v>
      </c>
      <c r="J7" s="16" t="n">
        <v>296</v>
      </c>
      <c r="K7" s="16" t="n">
        <v>273</v>
      </c>
      <c r="L7" s="16" t="n">
        <v>38</v>
      </c>
      <c r="M7" s="16" t="n">
        <v>45</v>
      </c>
      <c r="N7" s="16" t="n">
        <v>38</v>
      </c>
      <c r="O7" s="16" t="n">
        <v>41</v>
      </c>
      <c r="P7" s="16" t="n">
        <v>27</v>
      </c>
      <c r="Q7" s="16" t="n">
        <v>259</v>
      </c>
    </row>
    <row r="8">
      <c r="A8" s="14" t="inlineStr">
        <is>
          <t>ES</t>
        </is>
      </c>
      <c r="B8" s="16" t="n">
        <v>32</v>
      </c>
      <c r="C8" s="16" t="n">
        <v>46</v>
      </c>
      <c r="D8" s="16" t="n">
        <v>35</v>
      </c>
      <c r="E8" s="16" t="n">
        <v>74</v>
      </c>
      <c r="F8" s="16" t="n">
        <v>25</v>
      </c>
      <c r="G8" s="16" t="n">
        <v>287</v>
      </c>
      <c r="H8" s="15" t="n">
        <v>331</v>
      </c>
      <c r="I8" s="16" t="n">
        <v>286</v>
      </c>
      <c r="J8" s="16" t="n">
        <v>298</v>
      </c>
      <c r="K8" s="16" t="n">
        <v>271</v>
      </c>
      <c r="L8" s="16" t="n">
        <v>14</v>
      </c>
      <c r="M8" s="16" t="n">
        <v>17</v>
      </c>
      <c r="N8" s="16" t="n">
        <v>16</v>
      </c>
      <c r="O8" s="16" t="n">
        <v>16</v>
      </c>
      <c r="P8" s="16" t="n">
        <v>10</v>
      </c>
      <c r="Q8" s="16" t="n">
        <v>256</v>
      </c>
    </row>
    <row r="9">
      <c r="A9" s="14" t="inlineStr">
        <is>
          <t>LC</t>
        </is>
      </c>
      <c r="B9" s="16" t="n">
        <v>32</v>
      </c>
      <c r="C9" s="16" t="n">
        <v>43</v>
      </c>
      <c r="D9" s="16" t="n">
        <v>43</v>
      </c>
      <c r="E9" s="16" t="n">
        <v>69</v>
      </c>
      <c r="F9" s="16" t="n">
        <v>19</v>
      </c>
      <c r="G9" s="16" t="n">
        <v>293</v>
      </c>
      <c r="H9" s="16" t="n">
        <v>286</v>
      </c>
      <c r="I9" s="15" t="n">
        <v>332</v>
      </c>
      <c r="J9" s="16" t="n">
        <v>291</v>
      </c>
      <c r="K9" s="16" t="n">
        <v>267</v>
      </c>
      <c r="L9" s="16" t="n">
        <v>27</v>
      </c>
      <c r="M9" s="16" t="n">
        <v>28</v>
      </c>
      <c r="N9" s="16" t="n">
        <v>27</v>
      </c>
      <c r="O9" s="16" t="n">
        <v>31</v>
      </c>
      <c r="P9" s="16" t="n">
        <v>20</v>
      </c>
      <c r="Q9" s="16" t="n">
        <v>253</v>
      </c>
    </row>
    <row r="10">
      <c r="A10" s="14" t="inlineStr">
        <is>
          <t>LTW</t>
        </is>
      </c>
      <c r="B10" s="16" t="n">
        <v>39</v>
      </c>
      <c r="C10" s="16" t="n">
        <v>47</v>
      </c>
      <c r="D10" s="16" t="n">
        <v>39</v>
      </c>
      <c r="E10" s="16" t="n">
        <v>84</v>
      </c>
      <c r="F10" s="16" t="n">
        <v>30</v>
      </c>
      <c r="G10" s="16" t="n">
        <v>296</v>
      </c>
      <c r="H10" s="16" t="n">
        <v>298</v>
      </c>
      <c r="I10" s="16" t="n">
        <v>291</v>
      </c>
      <c r="J10" s="15" t="n">
        <v>369</v>
      </c>
      <c r="K10" s="16" t="n">
        <v>285</v>
      </c>
      <c r="L10" s="16" t="n">
        <v>33</v>
      </c>
      <c r="M10" s="16" t="n">
        <v>41</v>
      </c>
      <c r="N10" s="16" t="n">
        <v>33</v>
      </c>
      <c r="O10" s="16" t="n">
        <v>45</v>
      </c>
      <c r="P10" s="16" t="n">
        <v>21</v>
      </c>
      <c r="Q10" s="16" t="n">
        <v>263</v>
      </c>
    </row>
    <row r="11">
      <c r="A11" s="14" t="inlineStr">
        <is>
          <t>ME</t>
        </is>
      </c>
      <c r="B11" s="16" t="n">
        <v>35</v>
      </c>
      <c r="C11" s="16" t="n">
        <v>52</v>
      </c>
      <c r="D11" s="16" t="n">
        <v>43</v>
      </c>
      <c r="E11" s="16" t="n">
        <v>69</v>
      </c>
      <c r="F11" s="16" t="n">
        <v>27</v>
      </c>
      <c r="G11" s="16" t="n">
        <v>273</v>
      </c>
      <c r="H11" s="16" t="n">
        <v>271</v>
      </c>
      <c r="I11" s="16" t="n">
        <v>267</v>
      </c>
      <c r="J11" s="16" t="n">
        <v>285</v>
      </c>
      <c r="K11" s="15" t="n">
        <v>336</v>
      </c>
      <c r="L11" s="16" t="n">
        <v>35</v>
      </c>
      <c r="M11" s="16" t="n">
        <v>35</v>
      </c>
      <c r="N11" s="16" t="n">
        <v>34</v>
      </c>
      <c r="O11" s="16" t="n">
        <v>35</v>
      </c>
      <c r="P11" s="16" t="n">
        <v>28</v>
      </c>
      <c r="Q11" s="16" t="n">
        <v>249</v>
      </c>
    </row>
    <row r="12">
      <c r="A12" s="14" t="inlineStr">
        <is>
          <t>C</t>
        </is>
      </c>
      <c r="B12" s="16" t="n">
        <v>6</v>
      </c>
      <c r="C12" s="16" t="n">
        <v>16</v>
      </c>
      <c r="D12" s="16" t="n">
        <v>18</v>
      </c>
      <c r="E12" s="16" t="n">
        <v>10</v>
      </c>
      <c r="F12" s="16" t="n">
        <v>6</v>
      </c>
      <c r="G12" s="16" t="n">
        <v>38</v>
      </c>
      <c r="H12" s="16" t="n">
        <v>14</v>
      </c>
      <c r="I12" s="16" t="n">
        <v>27</v>
      </c>
      <c r="J12" s="16" t="n">
        <v>33</v>
      </c>
      <c r="K12" s="16" t="n">
        <v>35</v>
      </c>
      <c r="L12" s="15" t="n">
        <v>322</v>
      </c>
      <c r="M12" s="16" t="n">
        <v>293</v>
      </c>
      <c r="N12" s="16" t="n">
        <v>284</v>
      </c>
      <c r="O12" s="16" t="n">
        <v>276</v>
      </c>
      <c r="P12" s="16" t="n">
        <v>283</v>
      </c>
      <c r="Q12" s="16" t="n">
        <v>35</v>
      </c>
    </row>
    <row r="13">
      <c r="A13" s="14" t="inlineStr">
        <is>
          <t>CG</t>
        </is>
      </c>
      <c r="B13" s="16" t="n">
        <v>6</v>
      </c>
      <c r="C13" s="16" t="n">
        <v>14</v>
      </c>
      <c r="D13" s="16" t="n">
        <v>22</v>
      </c>
      <c r="E13" s="16" t="n">
        <v>20</v>
      </c>
      <c r="F13" s="16" t="n">
        <v>5</v>
      </c>
      <c r="G13" s="16" t="n">
        <v>45</v>
      </c>
      <c r="H13" s="16" t="n">
        <v>17</v>
      </c>
      <c r="I13" s="16" t="n">
        <v>28</v>
      </c>
      <c r="J13" s="16" t="n">
        <v>41</v>
      </c>
      <c r="K13" s="16" t="n">
        <v>35</v>
      </c>
      <c r="L13" s="16" t="n">
        <v>293</v>
      </c>
      <c r="M13" s="15" t="n">
        <v>328</v>
      </c>
      <c r="N13" s="16" t="n">
        <v>288</v>
      </c>
      <c r="O13" s="16" t="n">
        <v>290</v>
      </c>
      <c r="P13" s="16" t="n">
        <v>279</v>
      </c>
      <c r="Q13" s="16" t="n">
        <v>33</v>
      </c>
    </row>
    <row r="14">
      <c r="A14" s="14" t="inlineStr">
        <is>
          <t>CPD</t>
        </is>
      </c>
      <c r="B14" s="16" t="n">
        <v>6</v>
      </c>
      <c r="C14" s="16" t="n">
        <v>13</v>
      </c>
      <c r="D14" s="16" t="n">
        <v>19</v>
      </c>
      <c r="E14" s="16" t="n">
        <v>13</v>
      </c>
      <c r="F14" s="16" t="n">
        <v>7</v>
      </c>
      <c r="G14" s="16" t="n">
        <v>38</v>
      </c>
      <c r="H14" s="16" t="n">
        <v>16</v>
      </c>
      <c r="I14" s="16" t="n">
        <v>27</v>
      </c>
      <c r="J14" s="16" t="n">
        <v>33</v>
      </c>
      <c r="K14" s="16" t="n">
        <v>34</v>
      </c>
      <c r="L14" s="16" t="n">
        <v>284</v>
      </c>
      <c r="M14" s="16" t="n">
        <v>288</v>
      </c>
      <c r="N14" s="15" t="n">
        <v>318</v>
      </c>
      <c r="O14" s="16" t="n">
        <v>285</v>
      </c>
      <c r="P14" s="16" t="n">
        <v>275</v>
      </c>
      <c r="Q14" s="16" t="n">
        <v>35</v>
      </c>
    </row>
    <row r="15">
      <c r="A15" s="14" t="inlineStr">
        <is>
          <t>IA</t>
        </is>
      </c>
      <c r="B15" s="16" t="n">
        <v>6</v>
      </c>
      <c r="C15" s="16" t="n">
        <v>20</v>
      </c>
      <c r="D15" s="16" t="n">
        <v>20</v>
      </c>
      <c r="E15" s="16" t="n">
        <v>19</v>
      </c>
      <c r="F15" s="16" t="n">
        <v>6</v>
      </c>
      <c r="G15" s="16" t="n">
        <v>41</v>
      </c>
      <c r="H15" s="16" t="n">
        <v>16</v>
      </c>
      <c r="I15" s="16" t="n">
        <v>31</v>
      </c>
      <c r="J15" s="16" t="n">
        <v>45</v>
      </c>
      <c r="K15" s="16" t="n">
        <v>35</v>
      </c>
      <c r="L15" s="16" t="n">
        <v>276</v>
      </c>
      <c r="M15" s="16" t="n">
        <v>290</v>
      </c>
      <c r="N15" s="16" t="n">
        <v>285</v>
      </c>
      <c r="O15" s="15" t="n">
        <v>321</v>
      </c>
      <c r="P15" s="16" t="n">
        <v>266</v>
      </c>
      <c r="Q15" s="16" t="n">
        <v>35</v>
      </c>
    </row>
    <row r="16">
      <c r="A16" s="14" t="inlineStr">
        <is>
          <t>PI</t>
        </is>
      </c>
      <c r="B16" s="16" t="n">
        <v>6</v>
      </c>
      <c r="C16" s="16" t="n">
        <v>11</v>
      </c>
      <c r="D16" s="16" t="n">
        <v>14</v>
      </c>
      <c r="E16" s="16" t="n">
        <v>9</v>
      </c>
      <c r="F16" s="16" t="n">
        <v>1</v>
      </c>
      <c r="G16" s="16" t="n">
        <v>27</v>
      </c>
      <c r="H16" s="16" t="n">
        <v>10</v>
      </c>
      <c r="I16" s="16" t="n">
        <v>20</v>
      </c>
      <c r="J16" s="16" t="n">
        <v>21</v>
      </c>
      <c r="K16" s="16" t="n">
        <v>28</v>
      </c>
      <c r="L16" s="16" t="n">
        <v>283</v>
      </c>
      <c r="M16" s="16" t="n">
        <v>279</v>
      </c>
      <c r="N16" s="16" t="n">
        <v>275</v>
      </c>
      <c r="O16" s="16" t="n">
        <v>266</v>
      </c>
      <c r="P16" s="15" t="n">
        <v>304</v>
      </c>
      <c r="Q16" s="16" t="n">
        <v>31</v>
      </c>
    </row>
    <row r="17">
      <c r="A17" s="14" t="inlineStr">
        <is>
          <t>CP</t>
        </is>
      </c>
      <c r="B17" s="16" t="n">
        <v>22</v>
      </c>
      <c r="C17" s="16" t="n">
        <v>30</v>
      </c>
      <c r="D17" s="16" t="n">
        <v>24</v>
      </c>
      <c r="E17" s="16" t="n">
        <v>54</v>
      </c>
      <c r="F17" s="16" t="n">
        <v>14</v>
      </c>
      <c r="G17" s="16" t="n">
        <v>259</v>
      </c>
      <c r="H17" s="16" t="n">
        <v>256</v>
      </c>
      <c r="I17" s="16" t="n">
        <v>253</v>
      </c>
      <c r="J17" s="16" t="n">
        <v>263</v>
      </c>
      <c r="K17" s="16" t="n">
        <v>249</v>
      </c>
      <c r="L17" s="16" t="n">
        <v>35</v>
      </c>
      <c r="M17" s="16" t="n">
        <v>33</v>
      </c>
      <c r="N17" s="16" t="n">
        <v>35</v>
      </c>
      <c r="O17" s="16" t="n">
        <v>35</v>
      </c>
      <c r="P17" s="16" t="n">
        <v>31</v>
      </c>
      <c r="Q17" s="15" t="n">
        <v>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AC</t>
        </is>
      </c>
      <c r="B2" s="12" t="b">
        <v>0</v>
      </c>
      <c r="C2" s="13" t="n"/>
      <c r="D2" s="12" t="n">
        <v>1</v>
      </c>
    </row>
    <row r="3">
      <c r="A3" s="12" t="inlineStr">
        <is>
          <t>DS</t>
        </is>
      </c>
      <c r="B3" s="12" t="b">
        <v>0</v>
      </c>
      <c r="C3" s="13" t="n"/>
      <c r="D3" s="12" t="n">
        <v>1</v>
      </c>
    </row>
    <row r="4">
      <c r="A4" s="12" t="inlineStr">
        <is>
          <t>PRI</t>
        </is>
      </c>
      <c r="B4" s="12" t="b">
        <v>0</v>
      </c>
      <c r="C4" s="13" t="n"/>
      <c r="D4" s="12" t="n">
        <v>1</v>
      </c>
    </row>
    <row r="5">
      <c r="A5" s="12" t="inlineStr">
        <is>
          <t>SDLE</t>
        </is>
      </c>
      <c r="B5" s="12" t="b">
        <v>0</v>
      </c>
      <c r="C5" s="13" t="n"/>
      <c r="D5" s="12" t="n">
        <v>1</v>
      </c>
    </row>
    <row r="6">
      <c r="A6" s="12" t="inlineStr">
        <is>
          <t>SGI</t>
        </is>
      </c>
      <c r="B6" s="12" t="b">
        <v>0</v>
      </c>
      <c r="C6" s="13" t="n"/>
      <c r="D6" s="12" t="n">
        <v>1</v>
      </c>
    </row>
    <row r="7">
      <c r="A7" s="12" t="inlineStr">
        <is>
          <t>PD</t>
        </is>
      </c>
      <c r="B7" s="12" t="b">
        <v>0</v>
      </c>
      <c r="C7" s="13" t="n"/>
      <c r="D7" s="12" t="n">
        <v>2</v>
      </c>
    </row>
    <row r="8">
      <c r="A8" s="12" t="inlineStr">
        <is>
          <t>D</t>
        </is>
      </c>
      <c r="B8" s="12" t="b">
        <v>0</v>
      </c>
      <c r="C8" s="13" t="n"/>
      <c r="D8" s="12" t="n">
        <v>2</v>
      </c>
    </row>
    <row r="9">
      <c r="A9" s="12" t="inlineStr">
        <is>
          <t>API</t>
        </is>
      </c>
      <c r="B9" s="12" t="b">
        <v>0</v>
      </c>
      <c r="C9" s="13" t="n"/>
      <c r="D9" s="12" t="n">
        <v>2</v>
      </c>
    </row>
    <row r="10">
      <c r="A10" s="12" t="inlineStr">
        <is>
          <t>AID</t>
        </is>
      </c>
      <c r="B10" s="12" t="b">
        <v>0</v>
      </c>
      <c r="C10" s="13" t="n"/>
      <c r="D10" s="12" t="n">
        <v>2</v>
      </c>
    </row>
    <row r="11">
      <c r="A11" s="12" t="inlineStr">
        <is>
          <t>CHE</t>
        </is>
      </c>
      <c r="B11" s="12" t="b">
        <v>0</v>
      </c>
      <c r="C11" s="13" t="n"/>
      <c r="D11" s="12" t="n">
        <v>2</v>
      </c>
    </row>
    <row r="12">
      <c r="A12" s="12" t="inlineStr">
        <is>
          <t>ELS</t>
        </is>
      </c>
      <c r="B12" s="12" t="b">
        <v>0</v>
      </c>
      <c r="C12" s="13" t="n"/>
      <c r="D12" s="12" t="n">
        <v>2</v>
      </c>
    </row>
    <row r="13">
      <c r="A13" s="12" t="inlineStr">
        <is>
          <t>ESS</t>
        </is>
      </c>
      <c r="B13" s="12" t="b">
        <v>0</v>
      </c>
      <c r="C13" s="13" t="n"/>
      <c r="D13" s="12" t="n">
        <v>2</v>
      </c>
    </row>
    <row r="14">
      <c r="A14" s="12" t="inlineStr">
        <is>
          <t>MS</t>
        </is>
      </c>
      <c r="B14" s="12" t="b">
        <v>0</v>
      </c>
      <c r="C14" s="13" t="n"/>
      <c r="D14" s="12" t="n">
        <v>2</v>
      </c>
    </row>
    <row r="15">
      <c r="A15" s="12" t="inlineStr">
        <is>
          <t>MNEC</t>
        </is>
      </c>
      <c r="B15" s="12" t="b">
        <v>0</v>
      </c>
      <c r="C15" s="13" t="n"/>
      <c r="D15" s="12" t="n">
        <v>2</v>
      </c>
    </row>
    <row r="16">
      <c r="A16" s="12" t="inlineStr">
        <is>
          <t>RVA</t>
        </is>
      </c>
      <c r="B16" s="12" t="b">
        <v>0</v>
      </c>
      <c r="C16" s="13" t="n"/>
      <c r="D16" s="12" t="n">
        <v>2</v>
      </c>
    </row>
    <row r="17">
      <c r="A17" s="12" t="inlineStr">
        <is>
          <t>RI</t>
        </is>
      </c>
      <c r="B17" s="12" t="b">
        <v>0</v>
      </c>
      <c r="C17" s="13" t="n"/>
      <c r="D17" s="12" t="n">
        <v>2</v>
      </c>
    </row>
    <row r="18">
      <c r="A18" s="12" t="inlineStr">
        <is>
          <t>S</t>
        </is>
      </c>
      <c r="B18" s="12" t="b">
        <v>0</v>
      </c>
      <c r="C18" s="13" t="n"/>
      <c r="D18" s="12" t="n">
        <v>2</v>
      </c>
    </row>
    <row r="19">
      <c r="A19" s="12" t="inlineStr">
        <is>
          <t>SCI</t>
        </is>
      </c>
      <c r="B19" s="12" t="b">
        <v>0</v>
      </c>
      <c r="C19" s="13" t="n"/>
      <c r="D19" s="12" t="n">
        <v>2</v>
      </c>
    </row>
    <row r="20">
      <c r="A20" s="12" t="inlineStr">
        <is>
          <t>TACS</t>
        </is>
      </c>
      <c r="B20" s="12" t="b">
        <v>0</v>
      </c>
      <c r="C20" s="13" t="n"/>
      <c r="D20" s="12" t="n">
        <v>2</v>
      </c>
    </row>
    <row r="21">
      <c r="A21" s="12" t="inlineStr">
        <is>
          <t>TVVS</t>
        </is>
      </c>
      <c r="B21" s="12" t="b">
        <v>0</v>
      </c>
      <c r="C21" s="13" t="n"/>
      <c r="D21" s="12" t="n">
        <v>2</v>
      </c>
    </row>
    <row r="22">
      <c r="A22" s="12" t="inlineStr">
        <is>
          <t>TAIM</t>
        </is>
      </c>
      <c r="B22" s="12" t="b">
        <v>0</v>
      </c>
      <c r="C22" s="13" t="n"/>
      <c r="D22" s="12" t="n">
        <v>2</v>
      </c>
    </row>
    <row r="23">
      <c r="A23" s="12" t="inlineStr">
        <is>
          <t>WSDL</t>
        </is>
      </c>
      <c r="B23" s="12" t="b">
        <v>0</v>
      </c>
      <c r="C23" s="13" t="n"/>
      <c r="D23" s="12" t="n">
        <v>2</v>
      </c>
    </row>
    <row r="24">
      <c r="A24" s="12" t="inlineStr">
        <is>
          <t>CVCC</t>
        </is>
      </c>
      <c r="B24" s="12" t="b">
        <v>0</v>
      </c>
      <c r="C24" s="13" t="n"/>
      <c r="D24" s="12" t="n">
        <v>1</v>
      </c>
    </row>
    <row r="25">
      <c r="A25" s="12" t="inlineStr">
        <is>
          <t>LATEX</t>
        </is>
      </c>
      <c r="B25" s="12" t="b">
        <v>0</v>
      </c>
      <c r="C25" s="13" t="n"/>
      <c r="D25" s="12" t="n">
        <v>1</v>
      </c>
    </row>
  </sheetData>
  <dataValidations count="2">
    <dataValidation sqref="B2:B25" showDropDown="0" showInputMessage="0" showErrorMessage="0" allowBlank="1" type="list">
      <formula1>"TRUE,FALSE"</formula1>
    </dataValidation>
    <dataValidation sqref="C2:C25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4" t="inlineStr">
        <is>
          <t>UC \ UC</t>
        </is>
      </c>
      <c r="B1" s="14" t="inlineStr">
        <is>
          <t>AC</t>
        </is>
      </c>
      <c r="C1" s="14" t="inlineStr">
        <is>
          <t>DS</t>
        </is>
      </c>
      <c r="D1" s="14" t="inlineStr">
        <is>
          <t>PRI</t>
        </is>
      </c>
      <c r="E1" s="14" t="inlineStr">
        <is>
          <t>SDLE</t>
        </is>
      </c>
      <c r="F1" s="14" t="inlineStr">
        <is>
          <t>SGI</t>
        </is>
      </c>
      <c r="G1" s="14" t="inlineStr">
        <is>
          <t>PD</t>
        </is>
      </c>
      <c r="H1" s="14" t="inlineStr">
        <is>
          <t>D</t>
        </is>
      </c>
      <c r="I1" s="14" t="inlineStr">
        <is>
          <t>API</t>
        </is>
      </c>
      <c r="J1" s="14" t="inlineStr">
        <is>
          <t>AID</t>
        </is>
      </c>
      <c r="K1" s="14" t="inlineStr">
        <is>
          <t>CHE</t>
        </is>
      </c>
      <c r="L1" s="14" t="inlineStr">
        <is>
          <t>ELS</t>
        </is>
      </c>
      <c r="M1" s="14" t="inlineStr">
        <is>
          <t>ESS</t>
        </is>
      </c>
      <c r="N1" s="14" t="inlineStr">
        <is>
          <t>MS</t>
        </is>
      </c>
      <c r="O1" s="14" t="inlineStr">
        <is>
          <t>MNEC</t>
        </is>
      </c>
      <c r="P1" s="14" t="inlineStr">
        <is>
          <t>RVA</t>
        </is>
      </c>
      <c r="Q1" s="14" t="inlineStr">
        <is>
          <t>RI</t>
        </is>
      </c>
      <c r="R1" s="14" t="inlineStr">
        <is>
          <t>S</t>
        </is>
      </c>
      <c r="S1" s="14" t="inlineStr">
        <is>
          <t>SCI</t>
        </is>
      </c>
      <c r="T1" s="14" t="inlineStr">
        <is>
          <t>TACS</t>
        </is>
      </c>
      <c r="U1" s="14" t="inlineStr">
        <is>
          <t>TVVS</t>
        </is>
      </c>
      <c r="V1" s="14" t="inlineStr">
        <is>
          <t>TAIM</t>
        </is>
      </c>
      <c r="W1" s="14" t="inlineStr">
        <is>
          <t>WSDL</t>
        </is>
      </c>
      <c r="X1" s="14" t="inlineStr">
        <is>
          <t>CVCC</t>
        </is>
      </c>
      <c r="Y1" s="14" t="inlineStr">
        <is>
          <t>LATEX</t>
        </is>
      </c>
    </row>
    <row r="2">
      <c r="A2" s="14" t="inlineStr">
        <is>
          <t>AC</t>
        </is>
      </c>
      <c r="B2" s="15" t="n">
        <v>154</v>
      </c>
      <c r="C2" s="16" t="n">
        <v>135</v>
      </c>
      <c r="D2" s="16" t="n">
        <v>142</v>
      </c>
      <c r="E2" s="16" t="n">
        <v>133</v>
      </c>
      <c r="F2" s="16" t="n">
        <v>129</v>
      </c>
      <c r="G2" s="16" t="n">
        <v>5</v>
      </c>
      <c r="H2" s="16" t="n">
        <v>0</v>
      </c>
      <c r="I2" s="16" t="n">
        <v>2</v>
      </c>
      <c r="J2" s="16" t="n">
        <v>3</v>
      </c>
      <c r="K2" s="16" t="n">
        <v>1</v>
      </c>
      <c r="L2" s="16" t="n">
        <v>1</v>
      </c>
      <c r="M2" s="16" t="n">
        <v>3</v>
      </c>
      <c r="N2" s="16" t="n">
        <v>4</v>
      </c>
      <c r="O2" s="16" t="n">
        <v>2</v>
      </c>
      <c r="P2" s="16" t="n">
        <v>0</v>
      </c>
      <c r="Q2" s="16" t="n">
        <v>0</v>
      </c>
      <c r="R2" s="16" t="n">
        <v>2</v>
      </c>
      <c r="S2" s="16" t="n">
        <v>2</v>
      </c>
      <c r="T2" s="16" t="n">
        <v>7</v>
      </c>
      <c r="U2" s="16" t="n">
        <v>3</v>
      </c>
      <c r="V2" s="16" t="n">
        <v>2</v>
      </c>
      <c r="W2" s="16" t="n">
        <v>2</v>
      </c>
      <c r="X2" s="16" t="n">
        <v>1</v>
      </c>
      <c r="Y2" s="16" t="n">
        <v>0</v>
      </c>
    </row>
    <row r="3">
      <c r="A3" s="14" t="inlineStr">
        <is>
          <t>DS</t>
        </is>
      </c>
      <c r="B3" s="16" t="n">
        <v>135</v>
      </c>
      <c r="C3" s="15" t="n">
        <v>154</v>
      </c>
      <c r="D3" s="16" t="n">
        <v>132</v>
      </c>
      <c r="E3" s="16" t="n">
        <v>129</v>
      </c>
      <c r="F3" s="16" t="n">
        <v>132</v>
      </c>
      <c r="G3" s="16" t="n">
        <v>3</v>
      </c>
      <c r="H3" s="16" t="n">
        <v>0</v>
      </c>
      <c r="I3" s="16" t="n">
        <v>1</v>
      </c>
      <c r="J3" s="16" t="n">
        <v>2</v>
      </c>
      <c r="K3" s="16" t="n">
        <v>1</v>
      </c>
      <c r="L3" s="16" t="n">
        <v>1</v>
      </c>
      <c r="M3" s="16" t="n">
        <v>5</v>
      </c>
      <c r="N3" s="16" t="n">
        <v>2</v>
      </c>
      <c r="O3" s="16" t="n">
        <v>2</v>
      </c>
      <c r="P3" s="16" t="n">
        <v>1</v>
      </c>
      <c r="Q3" s="16" t="n">
        <v>1</v>
      </c>
      <c r="R3" s="16" t="n">
        <v>2</v>
      </c>
      <c r="S3" s="16" t="n">
        <v>0</v>
      </c>
      <c r="T3" s="16" t="n">
        <v>3</v>
      </c>
      <c r="U3" s="16" t="n">
        <v>4</v>
      </c>
      <c r="V3" s="16" t="n">
        <v>1</v>
      </c>
      <c r="W3" s="16" t="n">
        <v>1</v>
      </c>
      <c r="X3" s="16" t="n">
        <v>0</v>
      </c>
      <c r="Y3" s="16" t="n">
        <v>0</v>
      </c>
    </row>
    <row r="4">
      <c r="A4" s="14" t="inlineStr">
        <is>
          <t>PRI</t>
        </is>
      </c>
      <c r="B4" s="16" t="n">
        <v>142</v>
      </c>
      <c r="C4" s="16" t="n">
        <v>132</v>
      </c>
      <c r="D4" s="15" t="n">
        <v>156</v>
      </c>
      <c r="E4" s="16" t="n">
        <v>134</v>
      </c>
      <c r="F4" s="16" t="n">
        <v>130</v>
      </c>
      <c r="G4" s="16" t="n">
        <v>9</v>
      </c>
      <c r="H4" s="16" t="n">
        <v>0</v>
      </c>
      <c r="I4" s="16" t="n">
        <v>2</v>
      </c>
      <c r="J4" s="16" t="n">
        <v>4</v>
      </c>
      <c r="K4" s="16" t="n">
        <v>0</v>
      </c>
      <c r="L4" s="16" t="n">
        <v>1</v>
      </c>
      <c r="M4" s="16" t="n">
        <v>2</v>
      </c>
      <c r="N4" s="16" t="n">
        <v>5</v>
      </c>
      <c r="O4" s="16" t="n">
        <v>8</v>
      </c>
      <c r="P4" s="16" t="n">
        <v>3</v>
      </c>
      <c r="Q4" s="16" t="n">
        <v>2</v>
      </c>
      <c r="R4" s="16" t="n">
        <v>4</v>
      </c>
      <c r="S4" s="16" t="n">
        <v>1</v>
      </c>
      <c r="T4" s="16" t="n">
        <v>7</v>
      </c>
      <c r="U4" s="16" t="n">
        <v>6</v>
      </c>
      <c r="V4" s="16" t="n">
        <v>4</v>
      </c>
      <c r="W4" s="16" t="n">
        <v>2</v>
      </c>
      <c r="X4" s="16" t="n">
        <v>1</v>
      </c>
      <c r="Y4" s="16" t="n">
        <v>2</v>
      </c>
    </row>
    <row r="5">
      <c r="A5" s="14" t="inlineStr">
        <is>
          <t>SDLE</t>
        </is>
      </c>
      <c r="B5" s="16" t="n">
        <v>133</v>
      </c>
      <c r="C5" s="16" t="n">
        <v>129</v>
      </c>
      <c r="D5" s="16" t="n">
        <v>134</v>
      </c>
      <c r="E5" s="15" t="n">
        <v>152</v>
      </c>
      <c r="F5" s="16" t="n">
        <v>132</v>
      </c>
      <c r="G5" s="16" t="n">
        <v>4</v>
      </c>
      <c r="H5" s="16" t="n">
        <v>1</v>
      </c>
      <c r="I5" s="16" t="n">
        <v>1</v>
      </c>
      <c r="J5" s="16" t="n">
        <v>2</v>
      </c>
      <c r="K5" s="16" t="n">
        <v>0</v>
      </c>
      <c r="L5" s="16" t="n">
        <v>3</v>
      </c>
      <c r="M5" s="16" t="n">
        <v>0</v>
      </c>
      <c r="N5" s="16" t="n">
        <v>3</v>
      </c>
      <c r="O5" s="16" t="n">
        <v>6</v>
      </c>
      <c r="P5" s="16" t="n">
        <v>1</v>
      </c>
      <c r="Q5" s="16" t="n">
        <v>1</v>
      </c>
      <c r="R5" s="16" t="n">
        <v>5</v>
      </c>
      <c r="S5" s="16" t="n">
        <v>1</v>
      </c>
      <c r="T5" s="16" t="n">
        <v>5</v>
      </c>
      <c r="U5" s="16" t="n">
        <v>3</v>
      </c>
      <c r="V5" s="16" t="n">
        <v>2</v>
      </c>
      <c r="W5" s="16" t="n">
        <v>1</v>
      </c>
      <c r="X5" s="16" t="n">
        <v>0</v>
      </c>
      <c r="Y5" s="16" t="n">
        <v>1</v>
      </c>
    </row>
    <row r="6">
      <c r="A6" s="14" t="inlineStr">
        <is>
          <t>SGI</t>
        </is>
      </c>
      <c r="B6" s="16" t="n">
        <v>129</v>
      </c>
      <c r="C6" s="16" t="n">
        <v>132</v>
      </c>
      <c r="D6" s="16" t="n">
        <v>130</v>
      </c>
      <c r="E6" s="16" t="n">
        <v>132</v>
      </c>
      <c r="F6" s="15" t="n">
        <v>145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0</v>
      </c>
      <c r="L6" s="16" t="n">
        <v>1</v>
      </c>
      <c r="M6" s="16" t="n">
        <v>1</v>
      </c>
      <c r="N6" s="16" t="n">
        <v>4</v>
      </c>
      <c r="O6" s="16" t="n">
        <v>2</v>
      </c>
      <c r="P6" s="16" t="n">
        <v>1</v>
      </c>
      <c r="Q6" s="16" t="n">
        <v>1</v>
      </c>
      <c r="R6" s="16" t="n">
        <v>2</v>
      </c>
      <c r="S6" s="16" t="n">
        <v>1</v>
      </c>
      <c r="T6" s="16" t="n">
        <v>5</v>
      </c>
      <c r="U6" s="16" t="n">
        <v>3</v>
      </c>
      <c r="V6" s="16" t="n">
        <v>4</v>
      </c>
      <c r="W6" s="16" t="n">
        <v>0</v>
      </c>
      <c r="X6" s="16" t="n">
        <v>0</v>
      </c>
      <c r="Y6" s="16" t="n">
        <v>0</v>
      </c>
    </row>
    <row r="7">
      <c r="A7" s="14" t="inlineStr">
        <is>
          <t>PD</t>
        </is>
      </c>
      <c r="B7" s="16" t="n">
        <v>5</v>
      </c>
      <c r="C7" s="16" t="n">
        <v>3</v>
      </c>
      <c r="D7" s="16" t="n">
        <v>9</v>
      </c>
      <c r="E7" s="16" t="n">
        <v>4</v>
      </c>
      <c r="F7" s="16" t="n">
        <v>1</v>
      </c>
      <c r="G7" s="15" t="n">
        <v>138</v>
      </c>
      <c r="H7" s="16" t="n">
        <v>1</v>
      </c>
      <c r="I7" s="16" t="n">
        <v>19</v>
      </c>
      <c r="J7" s="16" t="n">
        <v>18</v>
      </c>
      <c r="K7" s="16" t="n">
        <v>8</v>
      </c>
      <c r="L7" s="16" t="n">
        <v>18</v>
      </c>
      <c r="M7" s="16" t="n">
        <v>19</v>
      </c>
      <c r="N7" s="16" t="n">
        <v>34</v>
      </c>
      <c r="O7" s="16" t="n">
        <v>41</v>
      </c>
      <c r="P7" s="16" t="n">
        <v>21</v>
      </c>
      <c r="Q7" s="16" t="n">
        <v>25</v>
      </c>
      <c r="R7" s="16" t="n">
        <v>40</v>
      </c>
      <c r="S7" s="16" t="n">
        <v>17</v>
      </c>
      <c r="T7" s="16" t="n">
        <v>35</v>
      </c>
      <c r="U7" s="16" t="n">
        <v>31</v>
      </c>
      <c r="V7" s="16" t="n">
        <v>28</v>
      </c>
      <c r="W7" s="16" t="n">
        <v>18</v>
      </c>
      <c r="X7" s="16" t="n">
        <v>20</v>
      </c>
      <c r="Y7" s="16" t="n">
        <v>17</v>
      </c>
    </row>
    <row r="8">
      <c r="A8" s="14" t="inlineStr">
        <is>
          <t>D</t>
        </is>
      </c>
      <c r="B8" s="16" t="n">
        <v>0</v>
      </c>
      <c r="C8" s="16" t="n">
        <v>0</v>
      </c>
      <c r="D8" s="16" t="n">
        <v>0</v>
      </c>
      <c r="E8" s="16" t="n">
        <v>1</v>
      </c>
      <c r="F8" s="16" t="n">
        <v>1</v>
      </c>
      <c r="G8" s="16" t="n">
        <v>1</v>
      </c>
      <c r="H8" s="15" t="n">
        <v>18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2</v>
      </c>
      <c r="R8" s="16" t="n">
        <v>0</v>
      </c>
      <c r="S8" s="16" t="n">
        <v>0</v>
      </c>
      <c r="T8" s="16" t="n">
        <v>1</v>
      </c>
      <c r="U8" s="16" t="n">
        <v>0</v>
      </c>
      <c r="V8" s="16" t="n">
        <v>2</v>
      </c>
      <c r="W8" s="16" t="n">
        <v>0</v>
      </c>
      <c r="X8" s="16" t="n">
        <v>0</v>
      </c>
      <c r="Y8" s="16" t="n">
        <v>2</v>
      </c>
    </row>
    <row r="9">
      <c r="A9" s="14" t="inlineStr">
        <is>
          <t>API</t>
        </is>
      </c>
      <c r="B9" s="16" t="n">
        <v>2</v>
      </c>
      <c r="C9" s="16" t="n">
        <v>1</v>
      </c>
      <c r="D9" s="16" t="n">
        <v>2</v>
      </c>
      <c r="E9" s="16" t="n">
        <v>1</v>
      </c>
      <c r="F9" s="16" t="n">
        <v>1</v>
      </c>
      <c r="G9" s="16" t="n">
        <v>19</v>
      </c>
      <c r="H9" s="16" t="n">
        <v>0</v>
      </c>
      <c r="I9" s="15" t="n">
        <v>25</v>
      </c>
      <c r="J9" s="16" t="n">
        <v>8</v>
      </c>
      <c r="K9" s="16" t="n">
        <v>2</v>
      </c>
      <c r="L9" s="16" t="n">
        <v>0</v>
      </c>
      <c r="M9" s="16" t="n">
        <v>3</v>
      </c>
      <c r="N9" s="16" t="n">
        <v>3</v>
      </c>
      <c r="O9" s="16" t="n">
        <v>11</v>
      </c>
      <c r="P9" s="16" t="n">
        <v>0</v>
      </c>
      <c r="Q9" s="16" t="n">
        <v>2</v>
      </c>
      <c r="R9" s="16" t="n">
        <v>11</v>
      </c>
      <c r="S9" s="16" t="n">
        <v>6</v>
      </c>
      <c r="T9" s="16" t="n">
        <v>8</v>
      </c>
      <c r="U9" s="16" t="n">
        <v>7</v>
      </c>
      <c r="V9" s="16" t="n">
        <v>6</v>
      </c>
      <c r="W9" s="16" t="n">
        <v>3</v>
      </c>
      <c r="X9" s="16" t="n">
        <v>0</v>
      </c>
      <c r="Y9" s="16" t="n">
        <v>6</v>
      </c>
    </row>
    <row r="10">
      <c r="A10" s="14" t="inlineStr">
        <is>
          <t>AID</t>
        </is>
      </c>
      <c r="B10" s="16" t="n">
        <v>3</v>
      </c>
      <c r="C10" s="16" t="n">
        <v>2</v>
      </c>
      <c r="D10" s="16" t="n">
        <v>4</v>
      </c>
      <c r="E10" s="16" t="n">
        <v>2</v>
      </c>
      <c r="F10" s="16" t="n">
        <v>1</v>
      </c>
      <c r="G10" s="16" t="n">
        <v>18</v>
      </c>
      <c r="H10" s="16" t="n">
        <v>0</v>
      </c>
      <c r="I10" s="16" t="n">
        <v>8</v>
      </c>
      <c r="J10" s="15" t="n">
        <v>25</v>
      </c>
      <c r="K10" s="16" t="n">
        <v>2</v>
      </c>
      <c r="L10" s="16" t="n">
        <v>1</v>
      </c>
      <c r="M10" s="16" t="n">
        <v>1</v>
      </c>
      <c r="N10" s="16" t="n">
        <v>10</v>
      </c>
      <c r="O10" s="16" t="n">
        <v>7</v>
      </c>
      <c r="P10" s="16" t="n">
        <v>4</v>
      </c>
      <c r="Q10" s="16" t="n">
        <v>1</v>
      </c>
      <c r="R10" s="16" t="n">
        <v>5</v>
      </c>
      <c r="S10" s="16" t="n">
        <v>4</v>
      </c>
      <c r="T10" s="16" t="n">
        <v>7</v>
      </c>
      <c r="U10" s="16" t="n">
        <v>6</v>
      </c>
      <c r="V10" s="16" t="n">
        <v>6</v>
      </c>
      <c r="W10" s="16" t="n">
        <v>2</v>
      </c>
      <c r="X10" s="16" t="n">
        <v>3</v>
      </c>
      <c r="Y10" s="16" t="n">
        <v>5</v>
      </c>
    </row>
    <row r="11">
      <c r="A11" s="14" t="inlineStr">
        <is>
          <t>CHE</t>
        </is>
      </c>
      <c r="B11" s="16" t="n">
        <v>1</v>
      </c>
      <c r="C11" s="16" t="n">
        <v>1</v>
      </c>
      <c r="D11" s="16" t="n">
        <v>0</v>
      </c>
      <c r="E11" s="16" t="n">
        <v>0</v>
      </c>
      <c r="F11" s="16" t="n">
        <v>0</v>
      </c>
      <c r="G11" s="16" t="n">
        <v>8</v>
      </c>
      <c r="H11" s="16" t="n">
        <v>0</v>
      </c>
      <c r="I11" s="16" t="n">
        <v>2</v>
      </c>
      <c r="J11" s="16" t="n">
        <v>2</v>
      </c>
      <c r="K11" s="15" t="n">
        <v>10</v>
      </c>
      <c r="L11" s="16" t="n">
        <v>1</v>
      </c>
      <c r="M11" s="16" t="n">
        <v>3</v>
      </c>
      <c r="N11" s="16" t="n">
        <v>2</v>
      </c>
      <c r="O11" s="16" t="n">
        <v>2</v>
      </c>
      <c r="P11" s="16" t="n">
        <v>0</v>
      </c>
      <c r="Q11" s="16" t="n">
        <v>2</v>
      </c>
      <c r="R11" s="16" t="n">
        <v>3</v>
      </c>
      <c r="S11" s="16" t="n">
        <v>3</v>
      </c>
      <c r="T11" s="16" t="n">
        <v>2</v>
      </c>
      <c r="U11" s="16" t="n">
        <v>3</v>
      </c>
      <c r="V11" s="16" t="n">
        <v>4</v>
      </c>
      <c r="W11" s="16" t="n">
        <v>0</v>
      </c>
      <c r="X11" s="16" t="n">
        <v>1</v>
      </c>
      <c r="Y11" s="16" t="n">
        <v>3</v>
      </c>
    </row>
    <row r="12">
      <c r="A12" s="14" t="inlineStr">
        <is>
          <t>ELS</t>
        </is>
      </c>
      <c r="B12" s="16" t="n">
        <v>1</v>
      </c>
      <c r="C12" s="16" t="n">
        <v>1</v>
      </c>
      <c r="D12" s="16" t="n">
        <v>1</v>
      </c>
      <c r="E12" s="16" t="n">
        <v>3</v>
      </c>
      <c r="F12" s="16" t="n">
        <v>1</v>
      </c>
      <c r="G12" s="16" t="n">
        <v>18</v>
      </c>
      <c r="H12" s="16" t="n">
        <v>0</v>
      </c>
      <c r="I12" s="16" t="n">
        <v>0</v>
      </c>
      <c r="J12" s="16" t="n">
        <v>1</v>
      </c>
      <c r="K12" s="16" t="n">
        <v>1</v>
      </c>
      <c r="L12" s="15" t="n">
        <v>24</v>
      </c>
      <c r="M12" s="16" t="n">
        <v>2</v>
      </c>
      <c r="N12" s="16" t="n">
        <v>4</v>
      </c>
      <c r="O12" s="16" t="n">
        <v>8</v>
      </c>
      <c r="P12" s="16" t="n">
        <v>2</v>
      </c>
      <c r="Q12" s="16" t="n">
        <v>7</v>
      </c>
      <c r="R12" s="16" t="n">
        <v>19</v>
      </c>
      <c r="S12" s="16" t="n">
        <v>2</v>
      </c>
      <c r="T12" s="16" t="n">
        <v>6</v>
      </c>
      <c r="U12" s="16" t="n">
        <v>3</v>
      </c>
      <c r="V12" s="16" t="n">
        <v>3</v>
      </c>
      <c r="W12" s="16" t="n">
        <v>7</v>
      </c>
      <c r="X12" s="16" t="n">
        <v>7</v>
      </c>
      <c r="Y12" s="16" t="n">
        <v>0</v>
      </c>
    </row>
    <row r="13">
      <c r="A13" s="14" t="inlineStr">
        <is>
          <t>ESS</t>
        </is>
      </c>
      <c r="B13" s="16" t="n">
        <v>3</v>
      </c>
      <c r="C13" s="16" t="n">
        <v>5</v>
      </c>
      <c r="D13" s="16" t="n">
        <v>2</v>
      </c>
      <c r="E13" s="16" t="n">
        <v>0</v>
      </c>
      <c r="F13" s="16" t="n">
        <v>1</v>
      </c>
      <c r="G13" s="16" t="n">
        <v>19</v>
      </c>
      <c r="H13" s="16" t="n">
        <v>0</v>
      </c>
      <c r="I13" s="16" t="n">
        <v>3</v>
      </c>
      <c r="J13" s="16" t="n">
        <v>1</v>
      </c>
      <c r="K13" s="16" t="n">
        <v>3</v>
      </c>
      <c r="L13" s="16" t="n">
        <v>2</v>
      </c>
      <c r="M13" s="15" t="n">
        <v>26</v>
      </c>
      <c r="N13" s="16" t="n">
        <v>8</v>
      </c>
      <c r="O13" s="16" t="n">
        <v>4</v>
      </c>
      <c r="P13" s="16" t="n">
        <v>3</v>
      </c>
      <c r="Q13" s="16" t="n">
        <v>8</v>
      </c>
      <c r="R13" s="16" t="n">
        <v>4</v>
      </c>
      <c r="S13" s="16" t="n">
        <v>6</v>
      </c>
      <c r="T13" s="16" t="n">
        <v>8</v>
      </c>
      <c r="U13" s="16" t="n">
        <v>10</v>
      </c>
      <c r="V13" s="16" t="n">
        <v>4</v>
      </c>
      <c r="W13" s="16" t="n">
        <v>3</v>
      </c>
      <c r="X13" s="16" t="n">
        <v>4</v>
      </c>
      <c r="Y13" s="16" t="n">
        <v>3</v>
      </c>
    </row>
    <row r="14">
      <c r="A14" s="14" t="inlineStr">
        <is>
          <t>MS</t>
        </is>
      </c>
      <c r="B14" s="16" t="n">
        <v>4</v>
      </c>
      <c r="C14" s="16" t="n">
        <v>2</v>
      </c>
      <c r="D14" s="16" t="n">
        <v>5</v>
      </c>
      <c r="E14" s="16" t="n">
        <v>3</v>
      </c>
      <c r="F14" s="16" t="n">
        <v>4</v>
      </c>
      <c r="G14" s="16" t="n">
        <v>34</v>
      </c>
      <c r="H14" s="16" t="n">
        <v>0</v>
      </c>
      <c r="I14" s="16" t="n">
        <v>3</v>
      </c>
      <c r="J14" s="16" t="n">
        <v>10</v>
      </c>
      <c r="K14" s="16" t="n">
        <v>2</v>
      </c>
      <c r="L14" s="16" t="n">
        <v>4</v>
      </c>
      <c r="M14" s="16" t="n">
        <v>8</v>
      </c>
      <c r="N14" s="15" t="n">
        <v>42</v>
      </c>
      <c r="O14" s="16" t="n">
        <v>16</v>
      </c>
      <c r="P14" s="16" t="n">
        <v>6</v>
      </c>
      <c r="Q14" s="16" t="n">
        <v>8</v>
      </c>
      <c r="R14" s="16" t="n">
        <v>7</v>
      </c>
      <c r="S14" s="16" t="n">
        <v>6</v>
      </c>
      <c r="T14" s="16" t="n">
        <v>12</v>
      </c>
      <c r="U14" s="16" t="n">
        <v>19</v>
      </c>
      <c r="V14" s="16" t="n">
        <v>8</v>
      </c>
      <c r="W14" s="16" t="n">
        <v>7</v>
      </c>
      <c r="X14" s="16" t="n">
        <v>4</v>
      </c>
      <c r="Y14" s="16" t="n">
        <v>5</v>
      </c>
    </row>
    <row r="15">
      <c r="A15" s="14" t="inlineStr">
        <is>
          <t>MNEC</t>
        </is>
      </c>
      <c r="B15" s="16" t="n">
        <v>2</v>
      </c>
      <c r="C15" s="16" t="n">
        <v>2</v>
      </c>
      <c r="D15" s="16" t="n">
        <v>8</v>
      </c>
      <c r="E15" s="16" t="n">
        <v>6</v>
      </c>
      <c r="F15" s="16" t="n">
        <v>2</v>
      </c>
      <c r="G15" s="16" t="n">
        <v>41</v>
      </c>
      <c r="H15" s="16" t="n">
        <v>0</v>
      </c>
      <c r="I15" s="16" t="n">
        <v>11</v>
      </c>
      <c r="J15" s="16" t="n">
        <v>7</v>
      </c>
      <c r="K15" s="16" t="n">
        <v>2</v>
      </c>
      <c r="L15" s="16" t="n">
        <v>8</v>
      </c>
      <c r="M15" s="16" t="n">
        <v>4</v>
      </c>
      <c r="N15" s="16" t="n">
        <v>16</v>
      </c>
      <c r="O15" s="15" t="n">
        <v>50</v>
      </c>
      <c r="P15" s="16" t="n">
        <v>9</v>
      </c>
      <c r="Q15" s="16" t="n">
        <v>7</v>
      </c>
      <c r="R15" s="16" t="n">
        <v>19</v>
      </c>
      <c r="S15" s="16" t="n">
        <v>7</v>
      </c>
      <c r="T15" s="16" t="n">
        <v>14</v>
      </c>
      <c r="U15" s="16" t="n">
        <v>14</v>
      </c>
      <c r="V15" s="16" t="n">
        <v>8</v>
      </c>
      <c r="W15" s="16" t="n">
        <v>5</v>
      </c>
      <c r="X15" s="16" t="n">
        <v>4</v>
      </c>
      <c r="Y15" s="16" t="n">
        <v>9</v>
      </c>
    </row>
    <row r="16">
      <c r="A16" s="14" t="inlineStr">
        <is>
          <t>RVA</t>
        </is>
      </c>
      <c r="B16" s="16" t="n">
        <v>0</v>
      </c>
      <c r="C16" s="16" t="n">
        <v>1</v>
      </c>
      <c r="D16" s="16" t="n">
        <v>3</v>
      </c>
      <c r="E16" s="16" t="n">
        <v>1</v>
      </c>
      <c r="F16" s="16" t="n">
        <v>1</v>
      </c>
      <c r="G16" s="16" t="n">
        <v>21</v>
      </c>
      <c r="H16" s="16" t="n">
        <v>0</v>
      </c>
      <c r="I16" s="16" t="n">
        <v>0</v>
      </c>
      <c r="J16" s="16" t="n">
        <v>4</v>
      </c>
      <c r="K16" s="16" t="n">
        <v>0</v>
      </c>
      <c r="L16" s="16" t="n">
        <v>2</v>
      </c>
      <c r="M16" s="16" t="n">
        <v>3</v>
      </c>
      <c r="N16" s="16" t="n">
        <v>6</v>
      </c>
      <c r="O16" s="16" t="n">
        <v>9</v>
      </c>
      <c r="P16" s="15" t="n">
        <v>24</v>
      </c>
      <c r="Q16" s="16" t="n">
        <v>8</v>
      </c>
      <c r="R16" s="16" t="n">
        <v>8</v>
      </c>
      <c r="S16" s="16" t="n">
        <v>3</v>
      </c>
      <c r="T16" s="16" t="n">
        <v>8</v>
      </c>
      <c r="U16" s="16" t="n">
        <v>4</v>
      </c>
      <c r="V16" s="16" t="n">
        <v>12</v>
      </c>
      <c r="W16" s="16" t="n">
        <v>1</v>
      </c>
      <c r="X16" s="16" t="n">
        <v>4</v>
      </c>
      <c r="Y16" s="16" t="n">
        <v>0</v>
      </c>
    </row>
    <row r="17">
      <c r="A17" s="14" t="inlineStr">
        <is>
          <t>RI</t>
        </is>
      </c>
      <c r="B17" s="16" t="n">
        <v>0</v>
      </c>
      <c r="C17" s="16" t="n">
        <v>1</v>
      </c>
      <c r="D17" s="16" t="n">
        <v>2</v>
      </c>
      <c r="E17" s="16" t="n">
        <v>1</v>
      </c>
      <c r="F17" s="16" t="n">
        <v>1</v>
      </c>
      <c r="G17" s="16" t="n">
        <v>25</v>
      </c>
      <c r="H17" s="16" t="n">
        <v>2</v>
      </c>
      <c r="I17" s="16" t="n">
        <v>2</v>
      </c>
      <c r="J17" s="16" t="n">
        <v>1</v>
      </c>
      <c r="K17" s="16" t="n">
        <v>2</v>
      </c>
      <c r="L17" s="16" t="n">
        <v>7</v>
      </c>
      <c r="M17" s="16" t="n">
        <v>8</v>
      </c>
      <c r="N17" s="16" t="n">
        <v>8</v>
      </c>
      <c r="O17" s="16" t="n">
        <v>7</v>
      </c>
      <c r="P17" s="16" t="n">
        <v>8</v>
      </c>
      <c r="Q17" s="15" t="n">
        <v>38</v>
      </c>
      <c r="R17" s="16" t="n">
        <v>13</v>
      </c>
      <c r="S17" s="16" t="n">
        <v>6</v>
      </c>
      <c r="T17" s="16" t="n">
        <v>5</v>
      </c>
      <c r="U17" s="16" t="n">
        <v>2</v>
      </c>
      <c r="V17" s="16" t="n">
        <v>14</v>
      </c>
      <c r="W17" s="16" t="n">
        <v>8</v>
      </c>
      <c r="X17" s="16" t="n">
        <v>7</v>
      </c>
      <c r="Y17" s="16" t="n">
        <v>5</v>
      </c>
    </row>
    <row r="18">
      <c r="A18" s="14" t="inlineStr">
        <is>
          <t>S</t>
        </is>
      </c>
      <c r="B18" s="16" t="n">
        <v>2</v>
      </c>
      <c r="C18" s="16" t="n">
        <v>2</v>
      </c>
      <c r="D18" s="16" t="n">
        <v>4</v>
      </c>
      <c r="E18" s="16" t="n">
        <v>5</v>
      </c>
      <c r="F18" s="16" t="n">
        <v>2</v>
      </c>
      <c r="G18" s="16" t="n">
        <v>40</v>
      </c>
      <c r="H18" s="16" t="n">
        <v>0</v>
      </c>
      <c r="I18" s="16" t="n">
        <v>11</v>
      </c>
      <c r="J18" s="16" t="n">
        <v>5</v>
      </c>
      <c r="K18" s="16" t="n">
        <v>3</v>
      </c>
      <c r="L18" s="16" t="n">
        <v>19</v>
      </c>
      <c r="M18" s="16" t="n">
        <v>4</v>
      </c>
      <c r="N18" s="16" t="n">
        <v>7</v>
      </c>
      <c r="O18" s="16" t="n">
        <v>19</v>
      </c>
      <c r="P18" s="16" t="n">
        <v>8</v>
      </c>
      <c r="Q18" s="16" t="n">
        <v>13</v>
      </c>
      <c r="R18" s="15" t="n">
        <v>49</v>
      </c>
      <c r="S18" s="16" t="n">
        <v>7</v>
      </c>
      <c r="T18" s="16" t="n">
        <v>16</v>
      </c>
      <c r="U18" s="16" t="n">
        <v>8</v>
      </c>
      <c r="V18" s="16" t="n">
        <v>8</v>
      </c>
      <c r="W18" s="16" t="n">
        <v>11</v>
      </c>
      <c r="X18" s="16" t="n">
        <v>13</v>
      </c>
      <c r="Y18" s="16" t="n">
        <v>8</v>
      </c>
    </row>
    <row r="19">
      <c r="A19" s="14" t="inlineStr">
        <is>
          <t>SCI</t>
        </is>
      </c>
      <c r="B19" s="16" t="n">
        <v>2</v>
      </c>
      <c r="C19" s="16" t="n">
        <v>0</v>
      </c>
      <c r="D19" s="16" t="n">
        <v>1</v>
      </c>
      <c r="E19" s="16" t="n">
        <v>1</v>
      </c>
      <c r="F19" s="16" t="n">
        <v>1</v>
      </c>
      <c r="G19" s="16" t="n">
        <v>17</v>
      </c>
      <c r="H19" s="16" t="n">
        <v>0</v>
      </c>
      <c r="I19" s="16" t="n">
        <v>6</v>
      </c>
      <c r="J19" s="16" t="n">
        <v>4</v>
      </c>
      <c r="K19" s="16" t="n">
        <v>3</v>
      </c>
      <c r="L19" s="16" t="n">
        <v>2</v>
      </c>
      <c r="M19" s="16" t="n">
        <v>6</v>
      </c>
      <c r="N19" s="16" t="n">
        <v>6</v>
      </c>
      <c r="O19" s="16" t="n">
        <v>7</v>
      </c>
      <c r="P19" s="16" t="n">
        <v>3</v>
      </c>
      <c r="Q19" s="16" t="n">
        <v>6</v>
      </c>
      <c r="R19" s="16" t="n">
        <v>7</v>
      </c>
      <c r="S19" s="15" t="n">
        <v>25</v>
      </c>
      <c r="T19" s="16" t="n">
        <v>8</v>
      </c>
      <c r="U19" s="16" t="n">
        <v>3</v>
      </c>
      <c r="V19" s="16" t="n">
        <v>6</v>
      </c>
      <c r="W19" s="16" t="n">
        <v>0</v>
      </c>
      <c r="X19" s="16" t="n">
        <v>5</v>
      </c>
      <c r="Y19" s="16" t="n">
        <v>3</v>
      </c>
    </row>
    <row r="20">
      <c r="A20" s="14" t="inlineStr">
        <is>
          <t>TACS</t>
        </is>
      </c>
      <c r="B20" s="16" t="n">
        <v>7</v>
      </c>
      <c r="C20" s="16" t="n">
        <v>3</v>
      </c>
      <c r="D20" s="16" t="n">
        <v>7</v>
      </c>
      <c r="E20" s="16" t="n">
        <v>5</v>
      </c>
      <c r="F20" s="16" t="n">
        <v>5</v>
      </c>
      <c r="G20" s="16" t="n">
        <v>35</v>
      </c>
      <c r="H20" s="16" t="n">
        <v>1</v>
      </c>
      <c r="I20" s="16" t="n">
        <v>8</v>
      </c>
      <c r="J20" s="16" t="n">
        <v>7</v>
      </c>
      <c r="K20" s="16" t="n">
        <v>2</v>
      </c>
      <c r="L20" s="16" t="n">
        <v>6</v>
      </c>
      <c r="M20" s="16" t="n">
        <v>8</v>
      </c>
      <c r="N20" s="16" t="n">
        <v>12</v>
      </c>
      <c r="O20" s="16" t="n">
        <v>14</v>
      </c>
      <c r="P20" s="16" t="n">
        <v>8</v>
      </c>
      <c r="Q20" s="16" t="n">
        <v>5</v>
      </c>
      <c r="R20" s="16" t="n">
        <v>16</v>
      </c>
      <c r="S20" s="16" t="n">
        <v>8</v>
      </c>
      <c r="T20" s="15" t="n">
        <v>53</v>
      </c>
      <c r="U20" s="16" t="n">
        <v>9</v>
      </c>
      <c r="V20" s="16" t="n">
        <v>10</v>
      </c>
      <c r="W20" s="16" t="n">
        <v>5</v>
      </c>
      <c r="X20" s="16" t="n">
        <v>4</v>
      </c>
      <c r="Y20" s="16" t="n">
        <v>9</v>
      </c>
    </row>
    <row r="21">
      <c r="A21" s="14" t="inlineStr">
        <is>
          <t>TVVS</t>
        </is>
      </c>
      <c r="B21" s="16" t="n">
        <v>3</v>
      </c>
      <c r="C21" s="16" t="n">
        <v>4</v>
      </c>
      <c r="D21" s="16" t="n">
        <v>6</v>
      </c>
      <c r="E21" s="16" t="n">
        <v>3</v>
      </c>
      <c r="F21" s="16" t="n">
        <v>3</v>
      </c>
      <c r="G21" s="16" t="n">
        <v>31</v>
      </c>
      <c r="H21" s="16" t="n">
        <v>0</v>
      </c>
      <c r="I21" s="16" t="n">
        <v>7</v>
      </c>
      <c r="J21" s="16" t="n">
        <v>6</v>
      </c>
      <c r="K21" s="16" t="n">
        <v>3</v>
      </c>
      <c r="L21" s="16" t="n">
        <v>3</v>
      </c>
      <c r="M21" s="16" t="n">
        <v>10</v>
      </c>
      <c r="N21" s="16" t="n">
        <v>19</v>
      </c>
      <c r="O21" s="16" t="n">
        <v>14</v>
      </c>
      <c r="P21" s="16" t="n">
        <v>4</v>
      </c>
      <c r="Q21" s="16" t="n">
        <v>2</v>
      </c>
      <c r="R21" s="16" t="n">
        <v>8</v>
      </c>
      <c r="S21" s="16" t="n">
        <v>3</v>
      </c>
      <c r="T21" s="16" t="n">
        <v>9</v>
      </c>
      <c r="U21" s="15" t="n">
        <v>38</v>
      </c>
      <c r="V21" s="16" t="n">
        <v>9</v>
      </c>
      <c r="W21" s="16" t="n">
        <v>8</v>
      </c>
      <c r="X21" s="16" t="n">
        <v>5</v>
      </c>
      <c r="Y21" s="16" t="n">
        <v>3</v>
      </c>
    </row>
    <row r="22">
      <c r="A22" s="14" t="inlineStr">
        <is>
          <t>TAIM</t>
        </is>
      </c>
      <c r="B22" s="16" t="n">
        <v>2</v>
      </c>
      <c r="C22" s="16" t="n">
        <v>1</v>
      </c>
      <c r="D22" s="16" t="n">
        <v>4</v>
      </c>
      <c r="E22" s="16" t="n">
        <v>2</v>
      </c>
      <c r="F22" s="16" t="n">
        <v>4</v>
      </c>
      <c r="G22" s="16" t="n">
        <v>28</v>
      </c>
      <c r="H22" s="16" t="n">
        <v>2</v>
      </c>
      <c r="I22" s="16" t="n">
        <v>6</v>
      </c>
      <c r="J22" s="16" t="n">
        <v>6</v>
      </c>
      <c r="K22" s="16" t="n">
        <v>4</v>
      </c>
      <c r="L22" s="16" t="n">
        <v>3</v>
      </c>
      <c r="M22" s="16" t="n">
        <v>4</v>
      </c>
      <c r="N22" s="16" t="n">
        <v>8</v>
      </c>
      <c r="O22" s="16" t="n">
        <v>8</v>
      </c>
      <c r="P22" s="16" t="n">
        <v>12</v>
      </c>
      <c r="Q22" s="16" t="n">
        <v>14</v>
      </c>
      <c r="R22" s="16" t="n">
        <v>8</v>
      </c>
      <c r="S22" s="16" t="n">
        <v>6</v>
      </c>
      <c r="T22" s="16" t="n">
        <v>10</v>
      </c>
      <c r="U22" s="16" t="n">
        <v>9</v>
      </c>
      <c r="V22" s="15" t="n">
        <v>41</v>
      </c>
      <c r="W22" s="16" t="n">
        <v>2</v>
      </c>
      <c r="X22" s="16" t="n">
        <v>5</v>
      </c>
      <c r="Y22" s="16" t="n">
        <v>7</v>
      </c>
    </row>
    <row r="23">
      <c r="A23" s="14" t="inlineStr">
        <is>
          <t>WSDL</t>
        </is>
      </c>
      <c r="B23" s="16" t="n">
        <v>2</v>
      </c>
      <c r="C23" s="16" t="n">
        <v>1</v>
      </c>
      <c r="D23" s="16" t="n">
        <v>2</v>
      </c>
      <c r="E23" s="16" t="n">
        <v>1</v>
      </c>
      <c r="F23" s="16" t="n">
        <v>0</v>
      </c>
      <c r="G23" s="16" t="n">
        <v>18</v>
      </c>
      <c r="H23" s="16" t="n">
        <v>0</v>
      </c>
      <c r="I23" s="16" t="n">
        <v>3</v>
      </c>
      <c r="J23" s="16" t="n">
        <v>2</v>
      </c>
      <c r="K23" s="16" t="n">
        <v>0</v>
      </c>
      <c r="L23" s="16" t="n">
        <v>7</v>
      </c>
      <c r="M23" s="16" t="n">
        <v>3</v>
      </c>
      <c r="N23" s="16" t="n">
        <v>7</v>
      </c>
      <c r="O23" s="16" t="n">
        <v>5</v>
      </c>
      <c r="P23" s="16" t="n">
        <v>1</v>
      </c>
      <c r="Q23" s="16" t="n">
        <v>8</v>
      </c>
      <c r="R23" s="16" t="n">
        <v>11</v>
      </c>
      <c r="S23" s="16" t="n">
        <v>0</v>
      </c>
      <c r="T23" s="16" t="n">
        <v>5</v>
      </c>
      <c r="U23" s="16" t="n">
        <v>8</v>
      </c>
      <c r="V23" s="16" t="n">
        <v>2</v>
      </c>
      <c r="W23" s="15" t="n">
        <v>22</v>
      </c>
      <c r="X23" s="16" t="n">
        <v>6</v>
      </c>
      <c r="Y23" s="16" t="n">
        <v>1</v>
      </c>
    </row>
    <row r="24">
      <c r="A24" s="14" t="inlineStr">
        <is>
          <t>CVCC</t>
        </is>
      </c>
      <c r="B24" s="16" t="n">
        <v>1</v>
      </c>
      <c r="C24" s="16" t="n">
        <v>0</v>
      </c>
      <c r="D24" s="16" t="n">
        <v>1</v>
      </c>
      <c r="E24" s="16" t="n">
        <v>0</v>
      </c>
      <c r="F24" s="16" t="n">
        <v>0</v>
      </c>
      <c r="G24" s="16" t="n">
        <v>20</v>
      </c>
      <c r="H24" s="16" t="n">
        <v>0</v>
      </c>
      <c r="I24" s="16" t="n">
        <v>0</v>
      </c>
      <c r="J24" s="16" t="n">
        <v>3</v>
      </c>
      <c r="K24" s="16" t="n">
        <v>1</v>
      </c>
      <c r="L24" s="16" t="n">
        <v>7</v>
      </c>
      <c r="M24" s="16" t="n">
        <v>4</v>
      </c>
      <c r="N24" s="16" t="n">
        <v>4</v>
      </c>
      <c r="O24" s="16" t="n">
        <v>4</v>
      </c>
      <c r="P24" s="16" t="n">
        <v>4</v>
      </c>
      <c r="Q24" s="16" t="n">
        <v>7</v>
      </c>
      <c r="R24" s="16" t="n">
        <v>13</v>
      </c>
      <c r="S24" s="16" t="n">
        <v>5</v>
      </c>
      <c r="T24" s="16" t="n">
        <v>4</v>
      </c>
      <c r="U24" s="16" t="n">
        <v>5</v>
      </c>
      <c r="V24" s="16" t="n">
        <v>5</v>
      </c>
      <c r="W24" s="16" t="n">
        <v>6</v>
      </c>
      <c r="X24" s="15" t="n">
        <v>70</v>
      </c>
      <c r="Y24" s="16" t="n">
        <v>0</v>
      </c>
    </row>
    <row r="25">
      <c r="A25" s="14" t="inlineStr">
        <is>
          <t>LATEX</t>
        </is>
      </c>
      <c r="B25" s="16" t="n">
        <v>0</v>
      </c>
      <c r="C25" s="16" t="n">
        <v>0</v>
      </c>
      <c r="D25" s="16" t="n">
        <v>2</v>
      </c>
      <c r="E25" s="16" t="n">
        <v>1</v>
      </c>
      <c r="F25" s="16" t="n">
        <v>0</v>
      </c>
      <c r="G25" s="16" t="n">
        <v>17</v>
      </c>
      <c r="H25" s="16" t="n">
        <v>2</v>
      </c>
      <c r="I25" s="16" t="n">
        <v>6</v>
      </c>
      <c r="J25" s="16" t="n">
        <v>5</v>
      </c>
      <c r="K25" s="16" t="n">
        <v>3</v>
      </c>
      <c r="L25" s="16" t="n">
        <v>0</v>
      </c>
      <c r="M25" s="16" t="n">
        <v>3</v>
      </c>
      <c r="N25" s="16" t="n">
        <v>5</v>
      </c>
      <c r="O25" s="16" t="n">
        <v>9</v>
      </c>
      <c r="P25" s="16" t="n">
        <v>0</v>
      </c>
      <c r="Q25" s="16" t="n">
        <v>5</v>
      </c>
      <c r="R25" s="16" t="n">
        <v>8</v>
      </c>
      <c r="S25" s="16" t="n">
        <v>3</v>
      </c>
      <c r="T25" s="16" t="n">
        <v>9</v>
      </c>
      <c r="U25" s="16" t="n">
        <v>3</v>
      </c>
      <c r="V25" s="16" t="n">
        <v>7</v>
      </c>
      <c r="W25" s="16" t="n">
        <v>1</v>
      </c>
      <c r="X25" s="16" t="n">
        <v>0</v>
      </c>
      <c r="Y25" s="15" t="n">
        <v>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LGP</t>
        </is>
      </c>
      <c r="B2" s="12" t="b">
        <v>0</v>
      </c>
      <c r="C2" s="13" t="n"/>
      <c r="D2" s="12" t="n">
        <v>1</v>
      </c>
    </row>
    <row r="3">
      <c r="A3" s="12" t="inlineStr">
        <is>
          <t>ASMA</t>
        </is>
      </c>
      <c r="B3" s="12" t="b">
        <v>0</v>
      </c>
      <c r="C3" s="13" t="n"/>
      <c r="D3" s="12" t="n">
        <v>1</v>
      </c>
    </row>
    <row r="4">
      <c r="A4" s="12" t="inlineStr">
        <is>
          <t>ASSO</t>
        </is>
      </c>
      <c r="B4" s="12" t="b">
        <v>0</v>
      </c>
      <c r="C4" s="13" t="n"/>
      <c r="D4" s="12" t="n">
        <v>1</v>
      </c>
    </row>
    <row r="5">
      <c r="A5" s="12" t="inlineStr">
        <is>
          <t>CAC</t>
        </is>
      </c>
      <c r="B5" s="12" t="b">
        <v>0</v>
      </c>
      <c r="C5" s="13" t="n"/>
      <c r="D5" s="12" t="n">
        <v>1</v>
      </c>
    </row>
    <row r="6">
      <c r="A6" s="12" t="inlineStr">
        <is>
          <t>CPM</t>
        </is>
      </c>
      <c r="B6" s="12" t="b">
        <v>0</v>
      </c>
      <c r="C6" s="13" t="n"/>
      <c r="D6" s="12" t="n">
        <v>1</v>
      </c>
    </row>
    <row r="7">
      <c r="A7" s="12" t="inlineStr">
        <is>
          <t>DDJD</t>
        </is>
      </c>
      <c r="B7" s="12" t="b">
        <v>0</v>
      </c>
      <c r="C7" s="13" t="n"/>
      <c r="D7" s="12" t="n">
        <v>1</v>
      </c>
    </row>
    <row r="8">
      <c r="A8" s="12" t="inlineStr">
        <is>
          <t>ER</t>
        </is>
      </c>
      <c r="B8" s="12" t="b">
        <v>0</v>
      </c>
      <c r="C8" s="13" t="n"/>
      <c r="D8" s="12" t="n">
        <v>1</v>
      </c>
    </row>
    <row r="9">
      <c r="A9" s="12" t="inlineStr">
        <is>
          <t>EDAA</t>
        </is>
      </c>
      <c r="B9" s="12" t="b">
        <v>0</v>
      </c>
      <c r="C9" s="13" t="n"/>
      <c r="D9" s="12" t="n">
        <v>1</v>
      </c>
    </row>
    <row r="10">
      <c r="A10" s="12" t="inlineStr">
        <is>
          <t>GEE</t>
        </is>
      </c>
      <c r="B10" s="12" t="b">
        <v>0</v>
      </c>
      <c r="C10" s="13" t="n"/>
      <c r="D10" s="12" t="n">
        <v>1</v>
      </c>
    </row>
    <row r="11">
      <c r="A11" s="12" t="inlineStr">
        <is>
          <t>GRS</t>
        </is>
      </c>
      <c r="B11" s="12" t="b">
        <v>0</v>
      </c>
      <c r="C11" s="13" t="n"/>
      <c r="D11" s="12" t="n">
        <v>1</v>
      </c>
    </row>
    <row r="12">
      <c r="A12" s="12" t="inlineStr">
        <is>
          <t>GSSI</t>
        </is>
      </c>
      <c r="B12" s="12" t="b">
        <v>0</v>
      </c>
      <c r="C12" s="13" t="n"/>
      <c r="D12" s="12" t="n">
        <v>1</v>
      </c>
    </row>
    <row r="13">
      <c r="A13" s="12" t="inlineStr">
        <is>
          <t>MK</t>
        </is>
      </c>
      <c r="B13" s="12" t="b">
        <v>0</v>
      </c>
      <c r="C13" s="13" t="n"/>
      <c r="D13" s="12" t="n">
        <v>1</v>
      </c>
    </row>
    <row r="14">
      <c r="A14" s="12" t="inlineStr">
        <is>
          <t>O</t>
        </is>
      </c>
      <c r="B14" s="12" t="b">
        <v>0</v>
      </c>
      <c r="C14" s="13" t="n"/>
      <c r="D14" s="12" t="n">
        <v>1</v>
      </c>
    </row>
    <row r="15">
      <c r="A15" s="12" t="inlineStr">
        <is>
          <t>PLN</t>
        </is>
      </c>
      <c r="B15" s="12" t="b">
        <v>0</v>
      </c>
      <c r="C15" s="13" t="n"/>
      <c r="D15" s="12" t="n">
        <v>1</v>
      </c>
    </row>
    <row r="16">
      <c r="A16" s="12" t="inlineStr">
        <is>
          <t>PLR</t>
        </is>
      </c>
      <c r="B16" s="12" t="b">
        <v>0</v>
      </c>
      <c r="C16" s="13" t="n"/>
      <c r="D16" s="12" t="n">
        <v>1</v>
      </c>
    </row>
    <row r="17">
      <c r="A17" s="12" t="inlineStr">
        <is>
          <t>SR</t>
        </is>
      </c>
      <c r="B17" s="12" t="b">
        <v>0</v>
      </c>
      <c r="C17" s="13" t="n"/>
      <c r="D17" s="12" t="n">
        <v>1</v>
      </c>
    </row>
    <row r="18">
      <c r="A18" s="12" t="inlineStr">
        <is>
          <t>SSI</t>
        </is>
      </c>
      <c r="B18" s="12" t="b">
        <v>0</v>
      </c>
      <c r="C18" s="13" t="n"/>
      <c r="D18" s="12" t="n">
        <v>1</v>
      </c>
    </row>
    <row r="19">
      <c r="A19" s="12" t="inlineStr">
        <is>
          <t>SAM</t>
        </is>
      </c>
      <c r="B19" s="12" t="b">
        <v>0</v>
      </c>
      <c r="C19" s="13" t="n"/>
      <c r="D19" s="12" t="n">
        <v>1</v>
      </c>
    </row>
    <row r="20">
      <c r="A20" s="12" t="inlineStr">
        <is>
          <t>SETR</t>
        </is>
      </c>
      <c r="B20" s="12" t="b">
        <v>0</v>
      </c>
      <c r="C20" s="13" t="n"/>
      <c r="D20" s="12" t="n">
        <v>1</v>
      </c>
    </row>
    <row r="21">
      <c r="A21" s="12" t="inlineStr">
        <is>
          <t>TBD</t>
        </is>
      </c>
      <c r="B21" s="12" t="b">
        <v>0</v>
      </c>
      <c r="C21" s="13" t="n"/>
      <c r="D21" s="12" t="n">
        <v>1</v>
      </c>
    </row>
    <row r="22">
      <c r="A22" s="12" t="inlineStr">
        <is>
          <t>VC</t>
        </is>
      </c>
      <c r="B22" s="12" t="b">
        <v>0</v>
      </c>
      <c r="C22" s="13" t="n"/>
      <c r="D22" s="12" t="n">
        <v>1</v>
      </c>
    </row>
    <row r="23">
      <c r="A23" s="12" t="inlineStr">
        <is>
          <t>BDNR</t>
        </is>
      </c>
      <c r="B23" s="12" t="b">
        <v>0</v>
      </c>
      <c r="C23" s="13" t="n"/>
      <c r="D23" s="12" t="n">
        <v>1</v>
      </c>
    </row>
    <row r="24">
      <c r="A24" s="12" t="inlineStr">
        <is>
          <t>PD</t>
        </is>
      </c>
      <c r="B24" s="12" t="b">
        <v>0</v>
      </c>
      <c r="C24" s="13" t="n"/>
      <c r="D24" s="12" t="n">
        <v>2</v>
      </c>
    </row>
    <row r="25">
      <c r="A25" s="12" t="inlineStr">
        <is>
          <t>D</t>
        </is>
      </c>
      <c r="B25" s="12" t="b">
        <v>0</v>
      </c>
      <c r="C25" s="13" t="n"/>
      <c r="D25" s="12" t="n">
        <v>2</v>
      </c>
    </row>
    <row r="26">
      <c r="A26" s="12" t="inlineStr">
        <is>
          <t>CPA</t>
        </is>
      </c>
      <c r="B26" s="12" t="b">
        <v>0</v>
      </c>
      <c r="C26" s="13" t="n"/>
      <c r="D26" s="12" t="n">
        <v>1</v>
      </c>
    </row>
    <row r="27">
      <c r="A27" s="12" t="inlineStr">
        <is>
          <t>MFS</t>
        </is>
      </c>
      <c r="B27" s="12" t="b">
        <v>0</v>
      </c>
      <c r="C27" s="13" t="n"/>
      <c r="D27" s="12" t="n">
        <v>1</v>
      </c>
    </row>
  </sheetData>
  <dataValidations count="2">
    <dataValidation sqref="B2:B27" showDropDown="0" showInputMessage="0" showErrorMessage="0" allowBlank="1" type="list">
      <formula1>"TRUE,FALSE"</formula1>
    </dataValidation>
    <dataValidation sqref="C2:C2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4" t="inlineStr">
        <is>
          <t>UC \ UC</t>
        </is>
      </c>
      <c r="B1" s="14" t="inlineStr">
        <is>
          <t>LGP</t>
        </is>
      </c>
      <c r="C1" s="14" t="inlineStr">
        <is>
          <t>ASMA</t>
        </is>
      </c>
      <c r="D1" s="14" t="inlineStr">
        <is>
          <t>ASSO</t>
        </is>
      </c>
      <c r="E1" s="14" t="inlineStr">
        <is>
          <t>CAC</t>
        </is>
      </c>
      <c r="F1" s="14" t="inlineStr">
        <is>
          <t>CPM</t>
        </is>
      </c>
      <c r="G1" s="14" t="inlineStr">
        <is>
          <t>DDJD</t>
        </is>
      </c>
      <c r="H1" s="14" t="inlineStr">
        <is>
          <t>ER</t>
        </is>
      </c>
      <c r="I1" s="14" t="inlineStr">
        <is>
          <t>EDAA</t>
        </is>
      </c>
      <c r="J1" s="14" t="inlineStr">
        <is>
          <t>GEE</t>
        </is>
      </c>
      <c r="K1" s="14" t="inlineStr">
        <is>
          <t>GRS</t>
        </is>
      </c>
      <c r="L1" s="14" t="inlineStr">
        <is>
          <t>GSSI</t>
        </is>
      </c>
      <c r="M1" s="14" t="inlineStr">
        <is>
          <t>MK</t>
        </is>
      </c>
      <c r="N1" s="14" t="inlineStr">
        <is>
          <t>O</t>
        </is>
      </c>
      <c r="O1" s="14" t="inlineStr">
        <is>
          <t>PLN</t>
        </is>
      </c>
      <c r="P1" s="14" t="inlineStr">
        <is>
          <t>PLR</t>
        </is>
      </c>
      <c r="Q1" s="14" t="inlineStr">
        <is>
          <t>SR</t>
        </is>
      </c>
      <c r="R1" s="14" t="inlineStr">
        <is>
          <t>SSI</t>
        </is>
      </c>
      <c r="S1" s="14" t="inlineStr">
        <is>
          <t>SAM</t>
        </is>
      </c>
      <c r="T1" s="14" t="inlineStr">
        <is>
          <t>SETR</t>
        </is>
      </c>
      <c r="U1" s="14" t="inlineStr">
        <is>
          <t>TBD</t>
        </is>
      </c>
      <c r="V1" s="14" t="inlineStr">
        <is>
          <t>VC</t>
        </is>
      </c>
      <c r="W1" s="14" t="inlineStr">
        <is>
          <t>BDNR</t>
        </is>
      </c>
      <c r="X1" s="14" t="inlineStr">
        <is>
          <t>PD</t>
        </is>
      </c>
      <c r="Y1" s="14" t="inlineStr">
        <is>
          <t>D</t>
        </is>
      </c>
      <c r="Z1" s="14" t="inlineStr">
        <is>
          <t>CPA</t>
        </is>
      </c>
      <c r="AA1" s="14" t="inlineStr">
        <is>
          <t>MFS</t>
        </is>
      </c>
    </row>
    <row r="2">
      <c r="A2" s="14" t="inlineStr">
        <is>
          <t>LGP</t>
        </is>
      </c>
      <c r="B2" s="15" t="n">
        <v>147</v>
      </c>
      <c r="C2" s="16" t="n">
        <v>22</v>
      </c>
      <c r="D2" s="16" t="n">
        <v>42</v>
      </c>
      <c r="E2" s="16" t="n">
        <v>7</v>
      </c>
      <c r="F2" s="16" t="n">
        <v>17</v>
      </c>
      <c r="G2" s="16" t="n">
        <v>43</v>
      </c>
      <c r="H2" s="16" t="n">
        <v>9</v>
      </c>
      <c r="I2" s="16" t="n">
        <v>21</v>
      </c>
      <c r="J2" s="16" t="n">
        <v>89</v>
      </c>
      <c r="K2" s="16" t="n">
        <v>21</v>
      </c>
      <c r="L2" s="16" t="n">
        <v>3</v>
      </c>
      <c r="M2" s="16" t="n">
        <v>18</v>
      </c>
      <c r="N2" s="16" t="n">
        <v>30</v>
      </c>
      <c r="O2" s="16" t="n">
        <v>17</v>
      </c>
      <c r="P2" s="16" t="n">
        <v>6</v>
      </c>
      <c r="Q2" s="16" t="n">
        <v>20</v>
      </c>
      <c r="R2" s="16" t="n">
        <v>18</v>
      </c>
      <c r="S2" s="16" t="n">
        <v>16</v>
      </c>
      <c r="T2" s="16" t="n">
        <v>22</v>
      </c>
      <c r="U2" s="16" t="n">
        <v>9</v>
      </c>
      <c r="V2" s="16" t="n">
        <v>38</v>
      </c>
      <c r="W2" s="16" t="n">
        <v>18</v>
      </c>
      <c r="X2" s="16" t="n">
        <v>2</v>
      </c>
      <c r="Y2" s="16" t="n">
        <v>1</v>
      </c>
      <c r="Z2" s="16" t="n">
        <v>18</v>
      </c>
      <c r="AA2" s="16" t="n">
        <v>25</v>
      </c>
    </row>
    <row r="3">
      <c r="A3" s="14" t="inlineStr">
        <is>
          <t>ASMA</t>
        </is>
      </c>
      <c r="B3" s="16" t="n">
        <v>22</v>
      </c>
      <c r="C3" s="15" t="n">
        <v>24</v>
      </c>
      <c r="D3" s="16" t="n">
        <v>6</v>
      </c>
      <c r="E3" s="16" t="n">
        <v>1</v>
      </c>
      <c r="F3" s="16" t="n">
        <v>4</v>
      </c>
      <c r="G3" s="16" t="n">
        <v>8</v>
      </c>
      <c r="H3" s="16" t="n">
        <v>1</v>
      </c>
      <c r="I3" s="16" t="n">
        <v>1</v>
      </c>
      <c r="J3" s="16" t="n">
        <v>14</v>
      </c>
      <c r="K3" s="16" t="n">
        <v>3</v>
      </c>
      <c r="L3" s="16" t="n">
        <v>0</v>
      </c>
      <c r="M3" s="16" t="n">
        <v>0</v>
      </c>
      <c r="N3" s="16" t="n">
        <v>7</v>
      </c>
      <c r="O3" s="16" t="n">
        <v>5</v>
      </c>
      <c r="P3" s="16" t="n">
        <v>0</v>
      </c>
      <c r="Q3" s="16" t="n">
        <v>3</v>
      </c>
      <c r="R3" s="16" t="n">
        <v>1</v>
      </c>
      <c r="S3" s="16" t="n">
        <v>0</v>
      </c>
      <c r="T3" s="16" t="n">
        <v>4</v>
      </c>
      <c r="U3" s="16" t="n">
        <v>0</v>
      </c>
      <c r="V3" s="16" t="n">
        <v>7</v>
      </c>
      <c r="W3" s="16" t="n">
        <v>1</v>
      </c>
      <c r="X3" s="16" t="n">
        <v>1</v>
      </c>
      <c r="Y3" s="16" t="n">
        <v>0</v>
      </c>
      <c r="Z3" s="16" t="n">
        <v>0</v>
      </c>
      <c r="AA3" s="16" t="n">
        <v>3</v>
      </c>
    </row>
    <row r="4">
      <c r="A4" s="14" t="inlineStr">
        <is>
          <t>ASSO</t>
        </is>
      </c>
      <c r="B4" s="16" t="n">
        <v>42</v>
      </c>
      <c r="C4" s="16" t="n">
        <v>6</v>
      </c>
      <c r="D4" s="15" t="n">
        <v>50</v>
      </c>
      <c r="E4" s="16" t="n">
        <v>1</v>
      </c>
      <c r="F4" s="16" t="n">
        <v>3</v>
      </c>
      <c r="G4" s="16" t="n">
        <v>8</v>
      </c>
      <c r="H4" s="16" t="n">
        <v>2</v>
      </c>
      <c r="I4" s="16" t="n">
        <v>8</v>
      </c>
      <c r="J4" s="16" t="n">
        <v>25</v>
      </c>
      <c r="K4" s="16" t="n">
        <v>8</v>
      </c>
      <c r="L4" s="16" t="n">
        <v>1</v>
      </c>
      <c r="M4" s="16" t="n">
        <v>8</v>
      </c>
      <c r="N4" s="16" t="n">
        <v>10</v>
      </c>
      <c r="O4" s="16" t="n">
        <v>1</v>
      </c>
      <c r="P4" s="16" t="n">
        <v>0</v>
      </c>
      <c r="Q4" s="16" t="n">
        <v>5</v>
      </c>
      <c r="R4" s="16" t="n">
        <v>5</v>
      </c>
      <c r="S4" s="16" t="n">
        <v>5</v>
      </c>
      <c r="T4" s="16" t="n">
        <v>5</v>
      </c>
      <c r="U4" s="16" t="n">
        <v>1</v>
      </c>
      <c r="V4" s="16" t="n">
        <v>8</v>
      </c>
      <c r="W4" s="16" t="n">
        <v>5</v>
      </c>
      <c r="X4" s="16" t="n">
        <v>1</v>
      </c>
      <c r="Y4" s="16" t="n">
        <v>2</v>
      </c>
      <c r="Z4" s="16" t="n">
        <v>3</v>
      </c>
      <c r="AA4" s="16" t="n">
        <v>16</v>
      </c>
    </row>
    <row r="5">
      <c r="A5" s="14" t="inlineStr">
        <is>
          <t>CAC</t>
        </is>
      </c>
      <c r="B5" s="16" t="n">
        <v>7</v>
      </c>
      <c r="C5" s="16" t="n">
        <v>1</v>
      </c>
      <c r="D5" s="16" t="n">
        <v>1</v>
      </c>
      <c r="E5" s="15" t="n">
        <v>12</v>
      </c>
      <c r="F5" s="16" t="n">
        <v>0</v>
      </c>
      <c r="G5" s="16" t="n">
        <v>0</v>
      </c>
      <c r="H5" s="16" t="n">
        <v>0</v>
      </c>
      <c r="I5" s="16" t="n">
        <v>4</v>
      </c>
      <c r="J5" s="16" t="n">
        <v>5</v>
      </c>
      <c r="K5" s="16" t="n">
        <v>0</v>
      </c>
      <c r="L5" s="16" t="n">
        <v>1</v>
      </c>
      <c r="M5" s="16" t="n">
        <v>0</v>
      </c>
      <c r="N5" s="16" t="n">
        <v>1</v>
      </c>
      <c r="O5" s="16" t="n">
        <v>6</v>
      </c>
      <c r="P5" s="16" t="n">
        <v>1</v>
      </c>
      <c r="Q5" s="16" t="n">
        <v>2</v>
      </c>
      <c r="R5" s="16" t="n">
        <v>0</v>
      </c>
      <c r="S5" s="16" t="n">
        <v>1</v>
      </c>
      <c r="T5" s="16" t="n">
        <v>0</v>
      </c>
      <c r="U5" s="16" t="n">
        <v>2</v>
      </c>
      <c r="V5" s="16" t="n">
        <v>3</v>
      </c>
      <c r="W5" s="16" t="n">
        <v>1</v>
      </c>
      <c r="X5" s="16" t="n">
        <v>0</v>
      </c>
      <c r="Y5" s="16" t="n">
        <v>1</v>
      </c>
      <c r="Z5" s="16" t="n">
        <v>0</v>
      </c>
      <c r="AA5" s="16" t="n">
        <v>0</v>
      </c>
    </row>
    <row r="6">
      <c r="A6" s="14" t="inlineStr">
        <is>
          <t>CPM</t>
        </is>
      </c>
      <c r="B6" s="16" t="n">
        <v>17</v>
      </c>
      <c r="C6" s="16" t="n">
        <v>4</v>
      </c>
      <c r="D6" s="16" t="n">
        <v>3</v>
      </c>
      <c r="E6" s="16" t="n">
        <v>0</v>
      </c>
      <c r="F6" s="15" t="n">
        <v>24</v>
      </c>
      <c r="G6" s="16" t="n">
        <v>9</v>
      </c>
      <c r="H6" s="16" t="n">
        <v>2</v>
      </c>
      <c r="I6" s="16" t="n">
        <v>0</v>
      </c>
      <c r="J6" s="16" t="n">
        <v>17</v>
      </c>
      <c r="K6" s="16" t="n">
        <v>2</v>
      </c>
      <c r="L6" s="16" t="n">
        <v>0</v>
      </c>
      <c r="M6" s="16" t="n">
        <v>5</v>
      </c>
      <c r="N6" s="16" t="n">
        <v>2</v>
      </c>
      <c r="O6" s="16" t="n">
        <v>3</v>
      </c>
      <c r="P6" s="16" t="n">
        <v>0</v>
      </c>
      <c r="Q6" s="16" t="n">
        <v>0</v>
      </c>
      <c r="R6" s="16" t="n">
        <v>1</v>
      </c>
      <c r="S6" s="16" t="n">
        <v>4</v>
      </c>
      <c r="T6" s="16" t="n">
        <v>1</v>
      </c>
      <c r="U6" s="16" t="n">
        <v>3</v>
      </c>
      <c r="V6" s="16" t="n">
        <v>3</v>
      </c>
      <c r="W6" s="16" t="n">
        <v>2</v>
      </c>
      <c r="X6" s="16" t="n">
        <v>0</v>
      </c>
      <c r="Y6" s="16" t="n">
        <v>1</v>
      </c>
      <c r="Z6" s="16" t="n">
        <v>1</v>
      </c>
      <c r="AA6" s="16" t="n">
        <v>0</v>
      </c>
    </row>
    <row r="7">
      <c r="A7" s="14" t="inlineStr">
        <is>
          <t>DDJD</t>
        </is>
      </c>
      <c r="B7" s="16" t="n">
        <v>43</v>
      </c>
      <c r="C7" s="16" t="n">
        <v>8</v>
      </c>
      <c r="D7" s="16" t="n">
        <v>8</v>
      </c>
      <c r="E7" s="16" t="n">
        <v>0</v>
      </c>
      <c r="F7" s="16" t="n">
        <v>9</v>
      </c>
      <c r="G7" s="15" t="n">
        <v>48</v>
      </c>
      <c r="H7" s="16" t="n">
        <v>3</v>
      </c>
      <c r="I7" s="16" t="n">
        <v>2</v>
      </c>
      <c r="J7" s="16" t="n">
        <v>29</v>
      </c>
      <c r="K7" s="16" t="n">
        <v>2</v>
      </c>
      <c r="L7" s="16" t="n">
        <v>0</v>
      </c>
      <c r="M7" s="16" t="n">
        <v>11</v>
      </c>
      <c r="N7" s="16" t="n">
        <v>7</v>
      </c>
      <c r="O7" s="16" t="n">
        <v>4</v>
      </c>
      <c r="P7" s="16" t="n">
        <v>2</v>
      </c>
      <c r="Q7" s="16" t="n">
        <v>6</v>
      </c>
      <c r="R7" s="16" t="n">
        <v>6</v>
      </c>
      <c r="S7" s="16" t="n">
        <v>8</v>
      </c>
      <c r="T7" s="16" t="n">
        <v>7</v>
      </c>
      <c r="U7" s="16" t="n">
        <v>4</v>
      </c>
      <c r="V7" s="16" t="n">
        <v>16</v>
      </c>
      <c r="W7" s="16" t="n">
        <v>2</v>
      </c>
      <c r="X7" s="16" t="n">
        <v>0</v>
      </c>
      <c r="Y7" s="16" t="n">
        <v>0</v>
      </c>
      <c r="Z7" s="16" t="n">
        <v>3</v>
      </c>
      <c r="AA7" s="16" t="n">
        <v>1</v>
      </c>
    </row>
    <row r="8">
      <c r="A8" s="14" t="inlineStr">
        <is>
          <t>ER</t>
        </is>
      </c>
      <c r="B8" s="16" t="n">
        <v>9</v>
      </c>
      <c r="C8" s="16" t="n">
        <v>1</v>
      </c>
      <c r="D8" s="16" t="n">
        <v>2</v>
      </c>
      <c r="E8" s="16" t="n">
        <v>0</v>
      </c>
      <c r="F8" s="16" t="n">
        <v>2</v>
      </c>
      <c r="G8" s="16" t="n">
        <v>3</v>
      </c>
      <c r="H8" s="15" t="n">
        <v>21</v>
      </c>
      <c r="I8" s="16" t="n">
        <v>0</v>
      </c>
      <c r="J8" s="16" t="n">
        <v>10</v>
      </c>
      <c r="K8" s="16" t="n">
        <v>1</v>
      </c>
      <c r="L8" s="16" t="n">
        <v>3</v>
      </c>
      <c r="M8" s="16" t="n">
        <v>4</v>
      </c>
      <c r="N8" s="16" t="n">
        <v>0</v>
      </c>
      <c r="O8" s="16" t="n">
        <v>4</v>
      </c>
      <c r="P8" s="16" t="n">
        <v>0</v>
      </c>
      <c r="Q8" s="16" t="n">
        <v>1</v>
      </c>
      <c r="R8" s="16" t="n">
        <v>0</v>
      </c>
      <c r="S8" s="16" t="n">
        <v>1</v>
      </c>
      <c r="T8" s="16" t="n">
        <v>1</v>
      </c>
      <c r="U8" s="16" t="n">
        <v>0</v>
      </c>
      <c r="V8" s="16" t="n">
        <v>1</v>
      </c>
      <c r="W8" s="16" t="n">
        <v>4</v>
      </c>
      <c r="X8" s="16" t="n">
        <v>2</v>
      </c>
      <c r="Y8" s="16" t="n">
        <v>5</v>
      </c>
      <c r="Z8" s="16" t="n">
        <v>2</v>
      </c>
      <c r="AA8" s="16" t="n">
        <v>0</v>
      </c>
    </row>
    <row r="9">
      <c r="A9" s="14" t="inlineStr">
        <is>
          <t>EDAA</t>
        </is>
      </c>
      <c r="B9" s="16" t="n">
        <v>21</v>
      </c>
      <c r="C9" s="16" t="n">
        <v>1</v>
      </c>
      <c r="D9" s="16" t="n">
        <v>8</v>
      </c>
      <c r="E9" s="16" t="n">
        <v>4</v>
      </c>
      <c r="F9" s="16" t="n">
        <v>0</v>
      </c>
      <c r="G9" s="16" t="n">
        <v>2</v>
      </c>
      <c r="H9" s="16" t="n">
        <v>0</v>
      </c>
      <c r="I9" s="15" t="n">
        <v>25</v>
      </c>
      <c r="J9" s="16" t="n">
        <v>13</v>
      </c>
      <c r="K9" s="16" t="n">
        <v>6</v>
      </c>
      <c r="L9" s="16" t="n">
        <v>0</v>
      </c>
      <c r="M9" s="16" t="n">
        <v>0</v>
      </c>
      <c r="N9" s="16" t="n">
        <v>7</v>
      </c>
      <c r="O9" s="16" t="n">
        <v>2</v>
      </c>
      <c r="P9" s="16" t="n">
        <v>1</v>
      </c>
      <c r="Q9" s="16" t="n">
        <v>4</v>
      </c>
      <c r="R9" s="16" t="n">
        <v>2</v>
      </c>
      <c r="S9" s="16" t="n">
        <v>1</v>
      </c>
      <c r="T9" s="16" t="n">
        <v>5</v>
      </c>
      <c r="U9" s="16" t="n">
        <v>1</v>
      </c>
      <c r="V9" s="16" t="n">
        <v>3</v>
      </c>
      <c r="W9" s="16" t="n">
        <v>5</v>
      </c>
      <c r="X9" s="16" t="n">
        <v>0</v>
      </c>
      <c r="Y9" s="16" t="n">
        <v>0</v>
      </c>
      <c r="Z9" s="16" t="n">
        <v>3</v>
      </c>
      <c r="AA9" s="16" t="n">
        <v>5</v>
      </c>
    </row>
    <row r="10">
      <c r="A10" s="14" t="inlineStr">
        <is>
          <t>GEE</t>
        </is>
      </c>
      <c r="B10" s="16" t="n">
        <v>89</v>
      </c>
      <c r="C10" s="16" t="n">
        <v>14</v>
      </c>
      <c r="D10" s="16" t="n">
        <v>25</v>
      </c>
      <c r="E10" s="16" t="n">
        <v>5</v>
      </c>
      <c r="F10" s="16" t="n">
        <v>17</v>
      </c>
      <c r="G10" s="16" t="n">
        <v>29</v>
      </c>
      <c r="H10" s="16" t="n">
        <v>10</v>
      </c>
      <c r="I10" s="16" t="n">
        <v>13</v>
      </c>
      <c r="J10" s="15" t="n">
        <v>106</v>
      </c>
      <c r="K10" s="16" t="n">
        <v>18</v>
      </c>
      <c r="L10" s="16" t="n">
        <v>4</v>
      </c>
      <c r="M10" s="16" t="n">
        <v>9</v>
      </c>
      <c r="N10" s="16" t="n">
        <v>2</v>
      </c>
      <c r="O10" s="16" t="n">
        <v>14</v>
      </c>
      <c r="P10" s="16" t="n">
        <v>3</v>
      </c>
      <c r="Q10" s="16" t="n">
        <v>8</v>
      </c>
      <c r="R10" s="16" t="n">
        <v>12</v>
      </c>
      <c r="S10" s="16" t="n">
        <v>10</v>
      </c>
      <c r="T10" s="16" t="n">
        <v>15</v>
      </c>
      <c r="U10" s="16" t="n">
        <v>6</v>
      </c>
      <c r="V10" s="16" t="n">
        <v>30</v>
      </c>
      <c r="W10" s="16" t="n">
        <v>8</v>
      </c>
      <c r="X10" s="16" t="n">
        <v>2</v>
      </c>
      <c r="Y10" s="16" t="n">
        <v>1</v>
      </c>
      <c r="Z10" s="16" t="n">
        <v>13</v>
      </c>
      <c r="AA10" s="16" t="n">
        <v>16</v>
      </c>
    </row>
    <row r="11">
      <c r="A11" s="14" t="inlineStr">
        <is>
          <t>GRS</t>
        </is>
      </c>
      <c r="B11" s="16" t="n">
        <v>21</v>
      </c>
      <c r="C11" s="16" t="n">
        <v>3</v>
      </c>
      <c r="D11" s="16" t="n">
        <v>8</v>
      </c>
      <c r="E11" s="16" t="n">
        <v>0</v>
      </c>
      <c r="F11" s="16" t="n">
        <v>2</v>
      </c>
      <c r="G11" s="16" t="n">
        <v>2</v>
      </c>
      <c r="H11" s="16" t="n">
        <v>1</v>
      </c>
      <c r="I11" s="16" t="n">
        <v>6</v>
      </c>
      <c r="J11" s="16" t="n">
        <v>18</v>
      </c>
      <c r="K11" s="15" t="n">
        <v>23</v>
      </c>
      <c r="L11" s="16" t="n">
        <v>0</v>
      </c>
      <c r="M11" s="16" t="n">
        <v>0</v>
      </c>
      <c r="N11" s="16" t="n">
        <v>3</v>
      </c>
      <c r="O11" s="16" t="n">
        <v>0</v>
      </c>
      <c r="P11" s="16" t="n">
        <v>0</v>
      </c>
      <c r="Q11" s="16" t="n">
        <v>2</v>
      </c>
      <c r="R11" s="16" t="n">
        <v>2</v>
      </c>
      <c r="S11" s="16" t="n">
        <v>2</v>
      </c>
      <c r="T11" s="16" t="n">
        <v>3</v>
      </c>
      <c r="U11" s="16" t="n">
        <v>1</v>
      </c>
      <c r="V11" s="16" t="n">
        <v>2</v>
      </c>
      <c r="W11" s="16" t="n">
        <v>3</v>
      </c>
      <c r="X11" s="16" t="n">
        <v>0</v>
      </c>
      <c r="Y11" s="16" t="n">
        <v>1</v>
      </c>
      <c r="Z11" s="16" t="n">
        <v>4</v>
      </c>
      <c r="AA11" s="16" t="n">
        <v>1</v>
      </c>
    </row>
    <row r="12">
      <c r="A12" s="14" t="inlineStr">
        <is>
          <t>GSSI</t>
        </is>
      </c>
      <c r="B12" s="16" t="n">
        <v>3</v>
      </c>
      <c r="C12" s="16" t="n">
        <v>0</v>
      </c>
      <c r="D12" s="16" t="n">
        <v>1</v>
      </c>
      <c r="E12" s="16" t="n">
        <v>1</v>
      </c>
      <c r="F12" s="16" t="n">
        <v>0</v>
      </c>
      <c r="G12" s="16" t="n">
        <v>0</v>
      </c>
      <c r="H12" s="16" t="n">
        <v>3</v>
      </c>
      <c r="I12" s="16" t="n">
        <v>0</v>
      </c>
      <c r="J12" s="16" t="n">
        <v>4</v>
      </c>
      <c r="K12" s="16" t="n">
        <v>0</v>
      </c>
      <c r="L12" s="15" t="n">
        <v>9</v>
      </c>
      <c r="M12" s="16" t="n">
        <v>1</v>
      </c>
      <c r="N12" s="16" t="n">
        <v>0</v>
      </c>
      <c r="O12" s="16" t="n">
        <v>2</v>
      </c>
      <c r="P12" s="16" t="n">
        <v>0</v>
      </c>
      <c r="Q12" s="16" t="n">
        <v>0</v>
      </c>
      <c r="R12" s="16" t="n">
        <v>0</v>
      </c>
      <c r="S12" s="16" t="n">
        <v>1</v>
      </c>
      <c r="T12" s="16" t="n">
        <v>0</v>
      </c>
      <c r="U12" s="16" t="n">
        <v>2</v>
      </c>
      <c r="V12" s="16" t="n">
        <v>1</v>
      </c>
      <c r="W12" s="16" t="n">
        <v>0</v>
      </c>
      <c r="X12" s="16" t="n">
        <v>0</v>
      </c>
      <c r="Y12" s="16" t="n">
        <v>2</v>
      </c>
      <c r="Z12" s="16" t="n">
        <v>2</v>
      </c>
      <c r="AA12" s="16" t="n">
        <v>1</v>
      </c>
    </row>
    <row r="13">
      <c r="A13" s="14" t="inlineStr">
        <is>
          <t>MK</t>
        </is>
      </c>
      <c r="B13" s="16" t="n">
        <v>18</v>
      </c>
      <c r="C13" s="16" t="n">
        <v>0</v>
      </c>
      <c r="D13" s="16" t="n">
        <v>8</v>
      </c>
      <c r="E13" s="16" t="n">
        <v>0</v>
      </c>
      <c r="F13" s="16" t="n">
        <v>5</v>
      </c>
      <c r="G13" s="16" t="n">
        <v>11</v>
      </c>
      <c r="H13" s="16" t="n">
        <v>4</v>
      </c>
      <c r="I13" s="16" t="n">
        <v>0</v>
      </c>
      <c r="J13" s="16" t="n">
        <v>9</v>
      </c>
      <c r="K13" s="16" t="n">
        <v>0</v>
      </c>
      <c r="L13" s="16" t="n">
        <v>1</v>
      </c>
      <c r="M13" s="15" t="n">
        <v>25</v>
      </c>
      <c r="N13" s="16" t="n">
        <v>2</v>
      </c>
      <c r="O13" s="16" t="n">
        <v>0</v>
      </c>
      <c r="P13" s="16" t="n">
        <v>0</v>
      </c>
      <c r="Q13" s="16" t="n">
        <v>3</v>
      </c>
      <c r="R13" s="16" t="n">
        <v>1</v>
      </c>
      <c r="S13" s="16" t="n">
        <v>9</v>
      </c>
      <c r="T13" s="16" t="n">
        <v>1</v>
      </c>
      <c r="U13" s="16" t="n">
        <v>4</v>
      </c>
      <c r="V13" s="16" t="n">
        <v>2</v>
      </c>
      <c r="W13" s="16" t="n">
        <v>3</v>
      </c>
      <c r="X13" s="16" t="n">
        <v>0</v>
      </c>
      <c r="Y13" s="16" t="n">
        <v>2</v>
      </c>
      <c r="Z13" s="16" t="n">
        <v>1</v>
      </c>
      <c r="AA13" s="16" t="n">
        <v>2</v>
      </c>
    </row>
    <row r="14">
      <c r="A14" s="14" t="inlineStr">
        <is>
          <t>O</t>
        </is>
      </c>
      <c r="B14" s="16" t="n">
        <v>30</v>
      </c>
      <c r="C14" s="16" t="n">
        <v>7</v>
      </c>
      <c r="D14" s="16" t="n">
        <v>10</v>
      </c>
      <c r="E14" s="16" t="n">
        <v>1</v>
      </c>
      <c r="F14" s="16" t="n">
        <v>2</v>
      </c>
      <c r="G14" s="16" t="n">
        <v>7</v>
      </c>
      <c r="H14" s="16" t="n">
        <v>0</v>
      </c>
      <c r="I14" s="16" t="n">
        <v>7</v>
      </c>
      <c r="J14" s="16" t="n">
        <v>2</v>
      </c>
      <c r="K14" s="16" t="n">
        <v>3</v>
      </c>
      <c r="L14" s="16" t="n">
        <v>0</v>
      </c>
      <c r="M14" s="16" t="n">
        <v>2</v>
      </c>
      <c r="N14" s="15" t="n">
        <v>35</v>
      </c>
      <c r="O14" s="16" t="n">
        <v>6</v>
      </c>
      <c r="P14" s="16" t="n">
        <v>3</v>
      </c>
      <c r="Q14" s="16" t="n">
        <v>6</v>
      </c>
      <c r="R14" s="16" t="n">
        <v>3</v>
      </c>
      <c r="S14" s="16" t="n">
        <v>2</v>
      </c>
      <c r="T14" s="16" t="n">
        <v>5</v>
      </c>
      <c r="U14" s="16" t="n">
        <v>1</v>
      </c>
      <c r="V14" s="16" t="n">
        <v>5</v>
      </c>
      <c r="W14" s="16" t="n">
        <v>5</v>
      </c>
      <c r="X14" s="16" t="n">
        <v>0</v>
      </c>
      <c r="Y14" s="16" t="n">
        <v>0</v>
      </c>
      <c r="Z14" s="16" t="n">
        <v>2</v>
      </c>
      <c r="AA14" s="16" t="n">
        <v>8</v>
      </c>
    </row>
    <row r="15">
      <c r="A15" s="14" t="inlineStr">
        <is>
          <t>PLN</t>
        </is>
      </c>
      <c r="B15" s="16" t="n">
        <v>17</v>
      </c>
      <c r="C15" s="16" t="n">
        <v>5</v>
      </c>
      <c r="D15" s="16" t="n">
        <v>1</v>
      </c>
      <c r="E15" s="16" t="n">
        <v>6</v>
      </c>
      <c r="F15" s="16" t="n">
        <v>3</v>
      </c>
      <c r="G15" s="16" t="n">
        <v>4</v>
      </c>
      <c r="H15" s="16" t="n">
        <v>4</v>
      </c>
      <c r="I15" s="16" t="n">
        <v>2</v>
      </c>
      <c r="J15" s="16" t="n">
        <v>14</v>
      </c>
      <c r="K15" s="16" t="n">
        <v>0</v>
      </c>
      <c r="L15" s="16" t="n">
        <v>2</v>
      </c>
      <c r="M15" s="16" t="n">
        <v>0</v>
      </c>
      <c r="N15" s="16" t="n">
        <v>6</v>
      </c>
      <c r="O15" s="15" t="n">
        <v>31</v>
      </c>
      <c r="P15" s="16" t="n">
        <v>2</v>
      </c>
      <c r="Q15" s="16" t="n">
        <v>2</v>
      </c>
      <c r="R15" s="16" t="n">
        <v>5</v>
      </c>
      <c r="S15" s="16" t="n">
        <v>1</v>
      </c>
      <c r="T15" s="16" t="n">
        <v>1</v>
      </c>
      <c r="U15" s="16" t="n">
        <v>4</v>
      </c>
      <c r="V15" s="16" t="n">
        <v>4</v>
      </c>
      <c r="W15" s="16" t="n">
        <v>5</v>
      </c>
      <c r="X15" s="16" t="n">
        <v>2</v>
      </c>
      <c r="Y15" s="16" t="n">
        <v>2</v>
      </c>
      <c r="Z15" s="16" t="n">
        <v>0</v>
      </c>
      <c r="AA15" s="16" t="n">
        <v>1</v>
      </c>
    </row>
    <row r="16">
      <c r="A16" s="14" t="inlineStr">
        <is>
          <t>PLR</t>
        </is>
      </c>
      <c r="B16" s="16" t="n">
        <v>6</v>
      </c>
      <c r="C16" s="16" t="n">
        <v>0</v>
      </c>
      <c r="D16" s="16" t="n">
        <v>0</v>
      </c>
      <c r="E16" s="16" t="n">
        <v>1</v>
      </c>
      <c r="F16" s="16" t="n">
        <v>0</v>
      </c>
      <c r="G16" s="16" t="n">
        <v>2</v>
      </c>
      <c r="H16" s="16" t="n">
        <v>0</v>
      </c>
      <c r="I16" s="16" t="n">
        <v>1</v>
      </c>
      <c r="J16" s="16" t="n">
        <v>3</v>
      </c>
      <c r="K16" s="16" t="n">
        <v>0</v>
      </c>
      <c r="L16" s="16" t="n">
        <v>0</v>
      </c>
      <c r="M16" s="16" t="n">
        <v>0</v>
      </c>
      <c r="N16" s="16" t="n">
        <v>3</v>
      </c>
      <c r="O16" s="16" t="n">
        <v>2</v>
      </c>
      <c r="P16" s="15" t="n">
        <v>9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3</v>
      </c>
      <c r="W16" s="16" t="n">
        <v>1</v>
      </c>
      <c r="X16" s="16" t="n">
        <v>0</v>
      </c>
      <c r="Y16" s="16" t="n">
        <v>0</v>
      </c>
      <c r="Z16" s="16" t="n">
        <v>1</v>
      </c>
      <c r="AA16" s="16" t="n">
        <v>2</v>
      </c>
    </row>
    <row r="17">
      <c r="A17" s="14" t="inlineStr">
        <is>
          <t>SR</t>
        </is>
      </c>
      <c r="B17" s="16" t="n">
        <v>20</v>
      </c>
      <c r="C17" s="16" t="n">
        <v>3</v>
      </c>
      <c r="D17" s="16" t="n">
        <v>5</v>
      </c>
      <c r="E17" s="16" t="n">
        <v>2</v>
      </c>
      <c r="F17" s="16" t="n">
        <v>0</v>
      </c>
      <c r="G17" s="16" t="n">
        <v>6</v>
      </c>
      <c r="H17" s="16" t="n">
        <v>1</v>
      </c>
      <c r="I17" s="16" t="n">
        <v>4</v>
      </c>
      <c r="J17" s="16" t="n">
        <v>8</v>
      </c>
      <c r="K17" s="16" t="n">
        <v>2</v>
      </c>
      <c r="L17" s="16" t="n">
        <v>0</v>
      </c>
      <c r="M17" s="16" t="n">
        <v>3</v>
      </c>
      <c r="N17" s="16" t="n">
        <v>6</v>
      </c>
      <c r="O17" s="16" t="n">
        <v>2</v>
      </c>
      <c r="P17" s="16" t="n">
        <v>0</v>
      </c>
      <c r="Q17" s="15" t="n">
        <v>25</v>
      </c>
      <c r="R17" s="16" t="n">
        <v>7</v>
      </c>
      <c r="S17" s="16" t="n">
        <v>0</v>
      </c>
      <c r="T17" s="16" t="n">
        <v>8</v>
      </c>
      <c r="U17" s="16" t="n">
        <v>0</v>
      </c>
      <c r="V17" s="16" t="n">
        <v>4</v>
      </c>
      <c r="W17" s="16" t="n">
        <v>2</v>
      </c>
      <c r="X17" s="16" t="n">
        <v>0</v>
      </c>
      <c r="Y17" s="16" t="n">
        <v>0</v>
      </c>
      <c r="Z17" s="16" t="n">
        <v>2</v>
      </c>
      <c r="AA17" s="16" t="n">
        <v>2</v>
      </c>
    </row>
    <row r="18">
      <c r="A18" s="14" t="inlineStr">
        <is>
          <t>SSI</t>
        </is>
      </c>
      <c r="B18" s="16" t="n">
        <v>18</v>
      </c>
      <c r="C18" s="16" t="n">
        <v>1</v>
      </c>
      <c r="D18" s="16" t="n">
        <v>5</v>
      </c>
      <c r="E18" s="16" t="n">
        <v>0</v>
      </c>
      <c r="F18" s="16" t="n">
        <v>1</v>
      </c>
      <c r="G18" s="16" t="n">
        <v>6</v>
      </c>
      <c r="H18" s="16" t="n">
        <v>0</v>
      </c>
      <c r="I18" s="16" t="n">
        <v>2</v>
      </c>
      <c r="J18" s="16" t="n">
        <v>12</v>
      </c>
      <c r="K18" s="16" t="n">
        <v>2</v>
      </c>
      <c r="L18" s="16" t="n">
        <v>0</v>
      </c>
      <c r="M18" s="16" t="n">
        <v>1</v>
      </c>
      <c r="N18" s="16" t="n">
        <v>3</v>
      </c>
      <c r="O18" s="16" t="n">
        <v>5</v>
      </c>
      <c r="P18" s="16" t="n">
        <v>0</v>
      </c>
      <c r="Q18" s="16" t="n">
        <v>7</v>
      </c>
      <c r="R18" s="15" t="n">
        <v>22</v>
      </c>
      <c r="S18" s="16" t="n">
        <v>1</v>
      </c>
      <c r="T18" s="16" t="n">
        <v>4</v>
      </c>
      <c r="U18" s="16" t="n">
        <v>0</v>
      </c>
      <c r="V18" s="16" t="n">
        <v>2</v>
      </c>
      <c r="W18" s="16" t="n">
        <v>1</v>
      </c>
      <c r="X18" s="16" t="n">
        <v>0</v>
      </c>
      <c r="Y18" s="16" t="n">
        <v>1</v>
      </c>
      <c r="Z18" s="16" t="n">
        <v>3</v>
      </c>
      <c r="AA18" s="16" t="n">
        <v>2</v>
      </c>
    </row>
    <row r="19">
      <c r="A19" s="14" t="inlineStr">
        <is>
          <t>SAM</t>
        </is>
      </c>
      <c r="B19" s="16" t="n">
        <v>16</v>
      </c>
      <c r="C19" s="16" t="n">
        <v>0</v>
      </c>
      <c r="D19" s="16" t="n">
        <v>5</v>
      </c>
      <c r="E19" s="16" t="n">
        <v>1</v>
      </c>
      <c r="F19" s="16" t="n">
        <v>4</v>
      </c>
      <c r="G19" s="16" t="n">
        <v>8</v>
      </c>
      <c r="H19" s="16" t="n">
        <v>1</v>
      </c>
      <c r="I19" s="16" t="n">
        <v>1</v>
      </c>
      <c r="J19" s="16" t="n">
        <v>10</v>
      </c>
      <c r="K19" s="16" t="n">
        <v>2</v>
      </c>
      <c r="L19" s="16" t="n">
        <v>1</v>
      </c>
      <c r="M19" s="16" t="n">
        <v>9</v>
      </c>
      <c r="N19" s="16" t="n">
        <v>2</v>
      </c>
      <c r="O19" s="16" t="n">
        <v>1</v>
      </c>
      <c r="P19" s="16" t="n">
        <v>0</v>
      </c>
      <c r="Q19" s="16" t="n">
        <v>0</v>
      </c>
      <c r="R19" s="16" t="n">
        <v>1</v>
      </c>
      <c r="S19" s="15" t="n">
        <v>22</v>
      </c>
      <c r="T19" s="16" t="n">
        <v>0</v>
      </c>
      <c r="U19" s="16" t="n">
        <v>2</v>
      </c>
      <c r="V19" s="16" t="n">
        <v>4</v>
      </c>
      <c r="W19" s="16" t="n">
        <v>0</v>
      </c>
      <c r="X19" s="16" t="n">
        <v>0</v>
      </c>
      <c r="Y19" s="16" t="n">
        <v>3</v>
      </c>
      <c r="Z19" s="16" t="n">
        <v>0</v>
      </c>
      <c r="AA19" s="16" t="n">
        <v>3</v>
      </c>
    </row>
    <row r="20">
      <c r="A20" s="14" t="inlineStr">
        <is>
          <t>SETR</t>
        </is>
      </c>
      <c r="B20" s="16" t="n">
        <v>22</v>
      </c>
      <c r="C20" s="16" t="n">
        <v>4</v>
      </c>
      <c r="D20" s="16" t="n">
        <v>5</v>
      </c>
      <c r="E20" s="16" t="n">
        <v>0</v>
      </c>
      <c r="F20" s="16" t="n">
        <v>1</v>
      </c>
      <c r="G20" s="16" t="n">
        <v>7</v>
      </c>
      <c r="H20" s="16" t="n">
        <v>1</v>
      </c>
      <c r="I20" s="16" t="n">
        <v>5</v>
      </c>
      <c r="J20" s="16" t="n">
        <v>15</v>
      </c>
      <c r="K20" s="16" t="n">
        <v>3</v>
      </c>
      <c r="L20" s="16" t="n">
        <v>0</v>
      </c>
      <c r="M20" s="16" t="n">
        <v>1</v>
      </c>
      <c r="N20" s="16" t="n">
        <v>5</v>
      </c>
      <c r="O20" s="16" t="n">
        <v>1</v>
      </c>
      <c r="P20" s="16" t="n">
        <v>0</v>
      </c>
      <c r="Q20" s="16" t="n">
        <v>8</v>
      </c>
      <c r="R20" s="16" t="n">
        <v>4</v>
      </c>
      <c r="S20" s="16" t="n">
        <v>0</v>
      </c>
      <c r="T20" s="15" t="n">
        <v>25</v>
      </c>
      <c r="U20" s="16" t="n">
        <v>0</v>
      </c>
      <c r="V20" s="16" t="n">
        <v>4</v>
      </c>
      <c r="W20" s="16" t="n">
        <v>0</v>
      </c>
      <c r="X20" s="16" t="n">
        <v>0</v>
      </c>
      <c r="Y20" s="16" t="n">
        <v>0</v>
      </c>
      <c r="Z20" s="16" t="n">
        <v>8</v>
      </c>
      <c r="AA20" s="16" t="n">
        <v>0</v>
      </c>
    </row>
    <row r="21">
      <c r="A21" s="14" t="inlineStr">
        <is>
          <t>TBD</t>
        </is>
      </c>
      <c r="B21" s="16" t="n">
        <v>9</v>
      </c>
      <c r="C21" s="16" t="n">
        <v>0</v>
      </c>
      <c r="D21" s="16" t="n">
        <v>1</v>
      </c>
      <c r="E21" s="16" t="n">
        <v>2</v>
      </c>
      <c r="F21" s="16" t="n">
        <v>3</v>
      </c>
      <c r="G21" s="16" t="n">
        <v>4</v>
      </c>
      <c r="H21" s="16" t="n">
        <v>0</v>
      </c>
      <c r="I21" s="16" t="n">
        <v>1</v>
      </c>
      <c r="J21" s="16" t="n">
        <v>6</v>
      </c>
      <c r="K21" s="16" t="n">
        <v>1</v>
      </c>
      <c r="L21" s="16" t="n">
        <v>2</v>
      </c>
      <c r="M21" s="16" t="n">
        <v>4</v>
      </c>
      <c r="N21" s="16" t="n">
        <v>1</v>
      </c>
      <c r="O21" s="16" t="n">
        <v>4</v>
      </c>
      <c r="P21" s="16" t="n">
        <v>0</v>
      </c>
      <c r="Q21" s="16" t="n">
        <v>0</v>
      </c>
      <c r="R21" s="16" t="n">
        <v>0</v>
      </c>
      <c r="S21" s="16" t="n">
        <v>2</v>
      </c>
      <c r="T21" s="16" t="n">
        <v>0</v>
      </c>
      <c r="U21" s="15" t="n">
        <v>14</v>
      </c>
      <c r="V21" s="16" t="n">
        <v>0</v>
      </c>
      <c r="W21" s="16" t="n">
        <v>4</v>
      </c>
      <c r="X21" s="16" t="n">
        <v>0</v>
      </c>
      <c r="Y21" s="16" t="n">
        <v>0</v>
      </c>
      <c r="Z21" s="16" t="n">
        <v>0</v>
      </c>
      <c r="AA21" s="16" t="n">
        <v>0</v>
      </c>
    </row>
    <row r="22">
      <c r="A22" s="14" t="inlineStr">
        <is>
          <t>VC</t>
        </is>
      </c>
      <c r="B22" s="16" t="n">
        <v>38</v>
      </c>
      <c r="C22" s="16" t="n">
        <v>7</v>
      </c>
      <c r="D22" s="16" t="n">
        <v>8</v>
      </c>
      <c r="E22" s="16" t="n">
        <v>3</v>
      </c>
      <c r="F22" s="16" t="n">
        <v>3</v>
      </c>
      <c r="G22" s="16" t="n">
        <v>16</v>
      </c>
      <c r="H22" s="16" t="n">
        <v>1</v>
      </c>
      <c r="I22" s="16" t="n">
        <v>3</v>
      </c>
      <c r="J22" s="16" t="n">
        <v>30</v>
      </c>
      <c r="K22" s="16" t="n">
        <v>2</v>
      </c>
      <c r="L22" s="16" t="n">
        <v>1</v>
      </c>
      <c r="M22" s="16" t="n">
        <v>2</v>
      </c>
      <c r="N22" s="16" t="n">
        <v>5</v>
      </c>
      <c r="O22" s="16" t="n">
        <v>4</v>
      </c>
      <c r="P22" s="16" t="n">
        <v>3</v>
      </c>
      <c r="Q22" s="16" t="n">
        <v>4</v>
      </c>
      <c r="R22" s="16" t="n">
        <v>2</v>
      </c>
      <c r="S22" s="16" t="n">
        <v>4</v>
      </c>
      <c r="T22" s="16" t="n">
        <v>4</v>
      </c>
      <c r="U22" s="16" t="n">
        <v>0</v>
      </c>
      <c r="V22" s="15" t="n">
        <v>40</v>
      </c>
      <c r="W22" s="16" t="n">
        <v>2</v>
      </c>
      <c r="X22" s="16" t="n">
        <v>1</v>
      </c>
      <c r="Y22" s="16" t="n">
        <v>0</v>
      </c>
      <c r="Z22" s="16" t="n">
        <v>1</v>
      </c>
      <c r="AA22" s="16" t="n">
        <v>8</v>
      </c>
    </row>
    <row r="23">
      <c r="A23" s="14" t="inlineStr">
        <is>
          <t>BDNR</t>
        </is>
      </c>
      <c r="B23" s="16" t="n">
        <v>18</v>
      </c>
      <c r="C23" s="16" t="n">
        <v>1</v>
      </c>
      <c r="D23" s="16" t="n">
        <v>5</v>
      </c>
      <c r="E23" s="16" t="n">
        <v>1</v>
      </c>
      <c r="F23" s="16" t="n">
        <v>2</v>
      </c>
      <c r="G23" s="16" t="n">
        <v>2</v>
      </c>
      <c r="H23" s="16" t="n">
        <v>4</v>
      </c>
      <c r="I23" s="16" t="n">
        <v>5</v>
      </c>
      <c r="J23" s="16" t="n">
        <v>8</v>
      </c>
      <c r="K23" s="16" t="n">
        <v>3</v>
      </c>
      <c r="L23" s="16" t="n">
        <v>0</v>
      </c>
      <c r="M23" s="16" t="n">
        <v>3</v>
      </c>
      <c r="N23" s="16" t="n">
        <v>5</v>
      </c>
      <c r="O23" s="16" t="n">
        <v>5</v>
      </c>
      <c r="P23" s="16" t="n">
        <v>1</v>
      </c>
      <c r="Q23" s="16" t="n">
        <v>2</v>
      </c>
      <c r="R23" s="16" t="n">
        <v>1</v>
      </c>
      <c r="S23" s="16" t="n">
        <v>0</v>
      </c>
      <c r="T23" s="16" t="n">
        <v>0</v>
      </c>
      <c r="U23" s="16" t="n">
        <v>4</v>
      </c>
      <c r="V23" s="16" t="n">
        <v>2</v>
      </c>
      <c r="W23" s="15" t="n">
        <v>22</v>
      </c>
      <c r="X23" s="16" t="n">
        <v>1</v>
      </c>
      <c r="Y23" s="16" t="n">
        <v>0</v>
      </c>
      <c r="Z23" s="16" t="n">
        <v>0</v>
      </c>
      <c r="AA23" s="16" t="n">
        <v>1</v>
      </c>
    </row>
    <row r="24">
      <c r="A24" s="14" t="inlineStr">
        <is>
          <t>PD</t>
        </is>
      </c>
      <c r="B24" s="16" t="n">
        <v>2</v>
      </c>
      <c r="C24" s="16" t="n">
        <v>1</v>
      </c>
      <c r="D24" s="16" t="n">
        <v>1</v>
      </c>
      <c r="E24" s="16" t="n">
        <v>0</v>
      </c>
      <c r="F24" s="16" t="n">
        <v>0</v>
      </c>
      <c r="G24" s="16" t="n">
        <v>0</v>
      </c>
      <c r="H24" s="16" t="n">
        <v>2</v>
      </c>
      <c r="I24" s="16" t="n">
        <v>0</v>
      </c>
      <c r="J24" s="16" t="n">
        <v>2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2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1</v>
      </c>
      <c r="W24" s="16" t="n">
        <v>1</v>
      </c>
      <c r="X24" s="15" t="n">
        <v>5</v>
      </c>
      <c r="Y24" s="16" t="n">
        <v>0</v>
      </c>
      <c r="Z24" s="16" t="n">
        <v>0</v>
      </c>
      <c r="AA24" s="16" t="n">
        <v>0</v>
      </c>
    </row>
    <row r="25">
      <c r="A25" s="14" t="inlineStr">
        <is>
          <t>D</t>
        </is>
      </c>
      <c r="B25" s="16" t="n">
        <v>1</v>
      </c>
      <c r="C25" s="16" t="n">
        <v>0</v>
      </c>
      <c r="D25" s="16" t="n">
        <v>2</v>
      </c>
      <c r="E25" s="16" t="n">
        <v>1</v>
      </c>
      <c r="F25" s="16" t="n">
        <v>1</v>
      </c>
      <c r="G25" s="16" t="n">
        <v>0</v>
      </c>
      <c r="H25" s="16" t="n">
        <v>5</v>
      </c>
      <c r="I25" s="16" t="n">
        <v>0</v>
      </c>
      <c r="J25" s="16" t="n">
        <v>1</v>
      </c>
      <c r="K25" s="16" t="n">
        <v>1</v>
      </c>
      <c r="L25" s="16" t="n">
        <v>2</v>
      </c>
      <c r="M25" s="16" t="n">
        <v>2</v>
      </c>
      <c r="N25" s="16" t="n">
        <v>0</v>
      </c>
      <c r="O25" s="16" t="n">
        <v>2</v>
      </c>
      <c r="P25" s="16" t="n">
        <v>0</v>
      </c>
      <c r="Q25" s="16" t="n">
        <v>0</v>
      </c>
      <c r="R25" s="16" t="n">
        <v>1</v>
      </c>
      <c r="S25" s="16" t="n">
        <v>3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5" t="n">
        <v>153</v>
      </c>
      <c r="Z25" s="16" t="n">
        <v>1</v>
      </c>
      <c r="AA25" s="16" t="n">
        <v>0</v>
      </c>
    </row>
    <row r="26">
      <c r="A26" s="14" t="inlineStr">
        <is>
          <t>CPA</t>
        </is>
      </c>
      <c r="B26" s="16" t="n">
        <v>18</v>
      </c>
      <c r="C26" s="16" t="n">
        <v>0</v>
      </c>
      <c r="D26" s="16" t="n">
        <v>3</v>
      </c>
      <c r="E26" s="16" t="n">
        <v>0</v>
      </c>
      <c r="F26" s="16" t="n">
        <v>1</v>
      </c>
      <c r="G26" s="16" t="n">
        <v>3</v>
      </c>
      <c r="H26" s="16" t="n">
        <v>2</v>
      </c>
      <c r="I26" s="16" t="n">
        <v>3</v>
      </c>
      <c r="J26" s="16" t="n">
        <v>13</v>
      </c>
      <c r="K26" s="16" t="n">
        <v>4</v>
      </c>
      <c r="L26" s="16" t="n">
        <v>2</v>
      </c>
      <c r="M26" s="16" t="n">
        <v>1</v>
      </c>
      <c r="N26" s="16" t="n">
        <v>2</v>
      </c>
      <c r="O26" s="16" t="n">
        <v>0</v>
      </c>
      <c r="P26" s="16" t="n">
        <v>1</v>
      </c>
      <c r="Q26" s="16" t="n">
        <v>2</v>
      </c>
      <c r="R26" s="16" t="n">
        <v>3</v>
      </c>
      <c r="S26" s="16" t="n">
        <v>0</v>
      </c>
      <c r="T26" s="16" t="n">
        <v>8</v>
      </c>
      <c r="U26" s="16" t="n">
        <v>0</v>
      </c>
      <c r="V26" s="16" t="n">
        <v>1</v>
      </c>
      <c r="W26" s="16" t="n">
        <v>0</v>
      </c>
      <c r="X26" s="16" t="n">
        <v>0</v>
      </c>
      <c r="Y26" s="16" t="n">
        <v>1</v>
      </c>
      <c r="Z26" s="15" t="n">
        <v>20</v>
      </c>
      <c r="AA26" s="16" t="n">
        <v>5</v>
      </c>
    </row>
    <row r="27">
      <c r="A27" s="14" t="inlineStr">
        <is>
          <t>MFS</t>
        </is>
      </c>
      <c r="B27" s="16" t="n">
        <v>25</v>
      </c>
      <c r="C27" s="16" t="n">
        <v>3</v>
      </c>
      <c r="D27" s="16" t="n">
        <v>16</v>
      </c>
      <c r="E27" s="16" t="n">
        <v>0</v>
      </c>
      <c r="F27" s="16" t="n">
        <v>0</v>
      </c>
      <c r="G27" s="16" t="n">
        <v>1</v>
      </c>
      <c r="H27" s="16" t="n">
        <v>0</v>
      </c>
      <c r="I27" s="16" t="n">
        <v>5</v>
      </c>
      <c r="J27" s="16" t="n">
        <v>16</v>
      </c>
      <c r="K27" s="16" t="n">
        <v>1</v>
      </c>
      <c r="L27" s="16" t="n">
        <v>1</v>
      </c>
      <c r="M27" s="16" t="n">
        <v>2</v>
      </c>
      <c r="N27" s="16" t="n">
        <v>8</v>
      </c>
      <c r="O27" s="16" t="n">
        <v>1</v>
      </c>
      <c r="P27" s="16" t="n">
        <v>2</v>
      </c>
      <c r="Q27" s="16" t="n">
        <v>2</v>
      </c>
      <c r="R27" s="16" t="n">
        <v>2</v>
      </c>
      <c r="S27" s="16" t="n">
        <v>3</v>
      </c>
      <c r="T27" s="16" t="n">
        <v>0</v>
      </c>
      <c r="U27" s="16" t="n">
        <v>0</v>
      </c>
      <c r="V27" s="16" t="n">
        <v>8</v>
      </c>
      <c r="W27" s="16" t="n">
        <v>1</v>
      </c>
      <c r="X27" s="16" t="n">
        <v>0</v>
      </c>
      <c r="Y27" s="16" t="n">
        <v>0</v>
      </c>
      <c r="Z27" s="16" t="n">
        <v>5</v>
      </c>
      <c r="AA27" s="15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PPES</t>
        </is>
      </c>
      <c r="B2" s="12" t="b">
        <v>0</v>
      </c>
      <c r="C2" s="13" t="n"/>
      <c r="D2" s="12" t="n">
        <v>1</v>
      </c>
    </row>
    <row r="3">
      <c r="A3" s="12" t="inlineStr">
        <is>
          <t>ERMS</t>
        </is>
      </c>
      <c r="B3" s="12" t="b">
        <v>0</v>
      </c>
      <c r="C3" s="13" t="n"/>
      <c r="D3" s="12" t="n">
        <v>1</v>
      </c>
    </row>
    <row r="4">
      <c r="A4" s="12" t="inlineStr">
        <is>
          <t>ADS</t>
        </is>
      </c>
      <c r="B4" s="12" t="b">
        <v>0</v>
      </c>
      <c r="C4" s="13" t="n"/>
      <c r="D4" s="12" t="n">
        <v>1</v>
      </c>
    </row>
    <row r="5">
      <c r="A5" s="12" t="inlineStr">
        <is>
          <t>TVVS</t>
        </is>
      </c>
      <c r="B5" s="12" t="b">
        <v>0</v>
      </c>
      <c r="C5" s="13" t="n"/>
      <c r="D5" s="12" t="n">
        <v>1</v>
      </c>
    </row>
    <row r="6">
      <c r="A6" s="12" t="inlineStr">
        <is>
          <t>LES</t>
        </is>
      </c>
      <c r="B6" s="12" t="b">
        <v>0</v>
      </c>
      <c r="C6" s="13" t="n"/>
      <c r="D6" s="12" t="n">
        <v>1</v>
      </c>
    </row>
    <row r="7">
      <c r="A7" s="12" t="inlineStr">
        <is>
          <t>D</t>
        </is>
      </c>
      <c r="B7" s="12" t="b">
        <v>0</v>
      </c>
      <c r="C7" s="13" t="n"/>
      <c r="D7" s="12" t="n">
        <v>2</v>
      </c>
    </row>
    <row r="8">
      <c r="A8" s="12" t="inlineStr">
        <is>
          <t>SES</t>
        </is>
      </c>
      <c r="B8" s="12" t="b">
        <v>0</v>
      </c>
      <c r="C8" s="13" t="n"/>
      <c r="D8" s="12" t="n">
        <v>2</v>
      </c>
    </row>
    <row r="9">
      <c r="A9" s="12" t="inlineStr">
        <is>
          <t>COSN</t>
        </is>
      </c>
      <c r="B9" s="12" t="b">
        <v>0</v>
      </c>
      <c r="C9" s="13" t="n"/>
      <c r="D9" s="12" t="n">
        <v>2</v>
      </c>
    </row>
    <row r="10">
      <c r="A10" s="12" t="inlineStr">
        <is>
          <t>IPC</t>
        </is>
      </c>
      <c r="B10" s="12" t="b">
        <v>0</v>
      </c>
      <c r="C10" s="13" t="n"/>
      <c r="D10" s="12" t="n">
        <v>2</v>
      </c>
    </row>
  </sheetData>
  <dataValidations count="2">
    <dataValidation sqref="B2:B10" showDropDown="0" showInputMessage="0" showErrorMessage="0" allowBlank="1" type="list">
      <formula1>"TRUE,FALSE"</formula1>
    </dataValidation>
    <dataValidation sqref="C2:C10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4" t="inlineStr">
        <is>
          <t>UC \ UC</t>
        </is>
      </c>
      <c r="B1" s="14" t="inlineStr">
        <is>
          <t>PPES</t>
        </is>
      </c>
      <c r="C1" s="14" t="inlineStr">
        <is>
          <t>ERMS</t>
        </is>
      </c>
      <c r="D1" s="14" t="inlineStr">
        <is>
          <t>ADS</t>
        </is>
      </c>
      <c r="E1" s="14" t="inlineStr">
        <is>
          <t>TVVS</t>
        </is>
      </c>
      <c r="F1" s="14" t="inlineStr">
        <is>
          <t>LES</t>
        </is>
      </c>
      <c r="G1" s="14" t="inlineStr">
        <is>
          <t>D</t>
        </is>
      </c>
      <c r="H1" s="14" t="inlineStr">
        <is>
          <t>SES</t>
        </is>
      </c>
      <c r="I1" s="14" t="inlineStr">
        <is>
          <t>COSN</t>
        </is>
      </c>
      <c r="J1" s="14" t="inlineStr">
        <is>
          <t>IPC</t>
        </is>
      </c>
    </row>
    <row r="2">
      <c r="A2" s="14" t="inlineStr">
        <is>
          <t>PPES</t>
        </is>
      </c>
      <c r="B2" s="15" t="n">
        <v>46</v>
      </c>
      <c r="C2" s="16" t="n">
        <v>42</v>
      </c>
      <c r="D2" s="16" t="n">
        <v>42</v>
      </c>
      <c r="E2" s="16" t="n">
        <v>41</v>
      </c>
      <c r="F2" s="16" t="n">
        <v>38</v>
      </c>
      <c r="G2" s="16" t="n">
        <v>0</v>
      </c>
      <c r="H2" s="16" t="n">
        <v>0</v>
      </c>
      <c r="I2" s="16" t="n">
        <v>0</v>
      </c>
      <c r="J2" s="16" t="n">
        <v>0</v>
      </c>
    </row>
    <row r="3">
      <c r="A3" s="14" t="inlineStr">
        <is>
          <t>ERMS</t>
        </is>
      </c>
      <c r="B3" s="16" t="n">
        <v>42</v>
      </c>
      <c r="C3" s="15" t="n">
        <v>49</v>
      </c>
      <c r="D3" s="16" t="n">
        <v>42</v>
      </c>
      <c r="E3" s="16" t="n">
        <v>41</v>
      </c>
      <c r="F3" s="16" t="n">
        <v>41</v>
      </c>
      <c r="G3" s="16" t="n">
        <v>0</v>
      </c>
      <c r="H3" s="16" t="n">
        <v>2</v>
      </c>
      <c r="I3" s="16" t="n">
        <v>3</v>
      </c>
      <c r="J3" s="16" t="n">
        <v>1</v>
      </c>
    </row>
    <row r="4">
      <c r="A4" s="14" t="inlineStr">
        <is>
          <t>ADS</t>
        </is>
      </c>
      <c r="B4" s="16" t="n">
        <v>42</v>
      </c>
      <c r="C4" s="16" t="n">
        <v>42</v>
      </c>
      <c r="D4" s="15" t="n">
        <v>50</v>
      </c>
      <c r="E4" s="16" t="n">
        <v>39</v>
      </c>
      <c r="F4" s="16" t="n">
        <v>38</v>
      </c>
      <c r="G4" s="16" t="n">
        <v>1</v>
      </c>
      <c r="H4" s="16" t="n">
        <v>2</v>
      </c>
      <c r="I4" s="16" t="n">
        <v>2</v>
      </c>
      <c r="J4" s="16" t="n">
        <v>1</v>
      </c>
    </row>
    <row r="5">
      <c r="A5" s="14" t="inlineStr">
        <is>
          <t>TVVS</t>
        </is>
      </c>
      <c r="B5" s="16" t="n">
        <v>41</v>
      </c>
      <c r="C5" s="16" t="n">
        <v>41</v>
      </c>
      <c r="D5" s="16" t="n">
        <v>39</v>
      </c>
      <c r="E5" s="15" t="n">
        <v>51</v>
      </c>
      <c r="F5" s="16" t="n">
        <v>40</v>
      </c>
      <c r="G5" s="16" t="n">
        <v>1</v>
      </c>
      <c r="H5" s="16" t="n">
        <v>2</v>
      </c>
      <c r="I5" s="16" t="n">
        <v>3</v>
      </c>
      <c r="J5" s="16" t="n">
        <v>2</v>
      </c>
    </row>
    <row r="6">
      <c r="A6" s="14" t="inlineStr">
        <is>
          <t>LES</t>
        </is>
      </c>
      <c r="B6" s="16" t="n">
        <v>38</v>
      </c>
      <c r="C6" s="16" t="n">
        <v>41</v>
      </c>
      <c r="D6" s="16" t="n">
        <v>38</v>
      </c>
      <c r="E6" s="16" t="n">
        <v>40</v>
      </c>
      <c r="F6" s="15" t="n">
        <v>45</v>
      </c>
      <c r="G6" s="16" t="n">
        <v>1</v>
      </c>
      <c r="H6" s="16" t="n">
        <v>2</v>
      </c>
      <c r="I6" s="16" t="n">
        <v>5</v>
      </c>
      <c r="J6" s="16" t="n">
        <v>2</v>
      </c>
    </row>
    <row r="7">
      <c r="A7" s="14" t="inlineStr">
        <is>
          <t>D</t>
        </is>
      </c>
      <c r="B7" s="16" t="n">
        <v>0</v>
      </c>
      <c r="C7" s="16" t="n">
        <v>0</v>
      </c>
      <c r="D7" s="16" t="n">
        <v>1</v>
      </c>
      <c r="E7" s="16" t="n">
        <v>1</v>
      </c>
      <c r="F7" s="16" t="n">
        <v>1</v>
      </c>
      <c r="G7" s="15" t="n">
        <v>41</v>
      </c>
      <c r="H7" s="16" t="n">
        <v>37</v>
      </c>
      <c r="I7" s="16" t="n">
        <v>19</v>
      </c>
      <c r="J7" s="16" t="n">
        <v>7</v>
      </c>
    </row>
    <row r="8">
      <c r="A8" s="14" t="inlineStr">
        <is>
          <t>SES</t>
        </is>
      </c>
      <c r="B8" s="16" t="n">
        <v>0</v>
      </c>
      <c r="C8" s="16" t="n">
        <v>2</v>
      </c>
      <c r="D8" s="16" t="n">
        <v>2</v>
      </c>
      <c r="E8" s="16" t="n">
        <v>2</v>
      </c>
      <c r="F8" s="16" t="n">
        <v>2</v>
      </c>
      <c r="G8" s="16" t="n">
        <v>37</v>
      </c>
      <c r="H8" s="15" t="n">
        <v>39</v>
      </c>
      <c r="I8" s="16" t="n">
        <v>20</v>
      </c>
      <c r="J8" s="16" t="n">
        <v>8</v>
      </c>
    </row>
    <row r="9">
      <c r="A9" s="14" t="inlineStr">
        <is>
          <t>COSN</t>
        </is>
      </c>
      <c r="B9" s="16" t="n">
        <v>0</v>
      </c>
      <c r="C9" s="16" t="n">
        <v>3</v>
      </c>
      <c r="D9" s="16" t="n">
        <v>2</v>
      </c>
      <c r="E9" s="16" t="n">
        <v>3</v>
      </c>
      <c r="F9" s="16" t="n">
        <v>5</v>
      </c>
      <c r="G9" s="16" t="n">
        <v>19</v>
      </c>
      <c r="H9" s="16" t="n">
        <v>20</v>
      </c>
      <c r="I9" s="15" t="n">
        <v>28</v>
      </c>
      <c r="J9" s="16" t="n">
        <v>2</v>
      </c>
    </row>
    <row r="10">
      <c r="A10" s="14" t="inlineStr">
        <is>
          <t>IPC</t>
        </is>
      </c>
      <c r="B10" s="16" t="n">
        <v>0</v>
      </c>
      <c r="C10" s="16" t="n">
        <v>1</v>
      </c>
      <c r="D10" s="16" t="n">
        <v>1</v>
      </c>
      <c r="E10" s="16" t="n">
        <v>2</v>
      </c>
      <c r="F10" s="16" t="n">
        <v>2</v>
      </c>
      <c r="G10" s="16" t="n">
        <v>7</v>
      </c>
      <c r="H10" s="16" t="n">
        <v>8</v>
      </c>
      <c r="I10" s="16" t="n">
        <v>2</v>
      </c>
      <c r="J10" s="1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GPIE</t>
        </is>
      </c>
      <c r="B2" s="12" t="b">
        <v>0</v>
      </c>
      <c r="C2" s="13" t="n"/>
      <c r="D2" s="12" t="n">
        <v>1</v>
      </c>
    </row>
    <row r="3">
      <c r="A3" s="12" t="inlineStr">
        <is>
          <t>SES</t>
        </is>
      </c>
      <c r="B3" s="12" t="b">
        <v>0</v>
      </c>
      <c r="C3" s="13" t="n"/>
      <c r="D3" s="12" t="n">
        <v>1</v>
      </c>
    </row>
    <row r="4">
      <c r="A4" s="12" t="inlineStr">
        <is>
          <t>CES</t>
        </is>
      </c>
      <c r="B4" s="12" t="b">
        <v>0</v>
      </c>
      <c r="C4" s="13" t="n"/>
      <c r="D4" s="12" t="n">
        <v>1</v>
      </c>
    </row>
    <row r="5">
      <c r="A5" s="12" t="inlineStr">
        <is>
          <t>ADES</t>
        </is>
      </c>
      <c r="B5" s="12" t="b">
        <v>0</v>
      </c>
      <c r="C5" s="13" t="n"/>
      <c r="D5" s="12" t="n">
        <v>1</v>
      </c>
    </row>
    <row r="6">
      <c r="A6" s="12" t="inlineStr">
        <is>
          <t>CM</t>
        </is>
      </c>
      <c r="B6" s="12" t="b">
        <v>0</v>
      </c>
      <c r="C6" s="13" t="n"/>
      <c r="D6" s="12" t="n">
        <v>1</v>
      </c>
    </row>
    <row r="7">
      <c r="A7" s="12" t="inlineStr">
        <is>
          <t>GQMPS</t>
        </is>
      </c>
      <c r="B7" s="12" t="b">
        <v>0</v>
      </c>
      <c r="C7" s="13" t="n"/>
      <c r="D7" s="12" t="n">
        <v>1</v>
      </c>
    </row>
  </sheetData>
  <dataValidations count="2">
    <dataValidation sqref="B2:B7" showDropDown="0" showInputMessage="0" showErrorMessage="0" allowBlank="1" type="list">
      <formula1>"TRUE,FALSE"</formula1>
    </dataValidation>
    <dataValidation sqref="C2:C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4" t="inlineStr">
        <is>
          <t>UC \ UC</t>
        </is>
      </c>
      <c r="B1" s="14" t="inlineStr">
        <is>
          <t>GPIE</t>
        </is>
      </c>
      <c r="C1" s="14" t="inlineStr">
        <is>
          <t>SES</t>
        </is>
      </c>
      <c r="D1" s="14" t="inlineStr">
        <is>
          <t>CES</t>
        </is>
      </c>
      <c r="E1" s="14" t="inlineStr">
        <is>
          <t>ADES</t>
        </is>
      </c>
      <c r="F1" s="14" t="inlineStr">
        <is>
          <t>CM</t>
        </is>
      </c>
      <c r="G1" s="14" t="inlineStr">
        <is>
          <t>GQMPS</t>
        </is>
      </c>
    </row>
    <row r="2">
      <c r="A2" s="14" t="inlineStr">
        <is>
          <t>GPIE</t>
        </is>
      </c>
      <c r="B2" s="15" t="n">
        <v>44</v>
      </c>
      <c r="C2" s="16" t="n">
        <v>38</v>
      </c>
      <c r="D2" s="16" t="n">
        <v>37</v>
      </c>
      <c r="E2" s="16" t="n">
        <v>39</v>
      </c>
      <c r="F2" s="16" t="n">
        <v>19</v>
      </c>
      <c r="G2" s="16" t="n">
        <v>18</v>
      </c>
    </row>
    <row r="3">
      <c r="A3" s="14" t="inlineStr">
        <is>
          <t>SES</t>
        </is>
      </c>
      <c r="B3" s="16" t="n">
        <v>38</v>
      </c>
      <c r="C3" s="15" t="n">
        <v>46</v>
      </c>
      <c r="D3" s="16" t="n">
        <v>43</v>
      </c>
      <c r="E3" s="16" t="n">
        <v>43</v>
      </c>
      <c r="F3" s="16" t="n">
        <v>21</v>
      </c>
      <c r="G3" s="16" t="n">
        <v>17</v>
      </c>
    </row>
    <row r="4">
      <c r="A4" s="14" t="inlineStr">
        <is>
          <t>CES</t>
        </is>
      </c>
      <c r="B4" s="16" t="n">
        <v>37</v>
      </c>
      <c r="C4" s="16" t="n">
        <v>43</v>
      </c>
      <c r="D4" s="15" t="n">
        <v>49</v>
      </c>
      <c r="E4" s="16" t="n">
        <v>42</v>
      </c>
      <c r="F4" s="16" t="n">
        <v>20</v>
      </c>
      <c r="G4" s="16" t="n">
        <v>18</v>
      </c>
    </row>
    <row r="5">
      <c r="A5" s="14" t="inlineStr">
        <is>
          <t>ADES</t>
        </is>
      </c>
      <c r="B5" s="16" t="n">
        <v>39</v>
      </c>
      <c r="C5" s="16" t="n">
        <v>43</v>
      </c>
      <c r="D5" s="16" t="n">
        <v>42</v>
      </c>
      <c r="E5" s="15" t="n">
        <v>46</v>
      </c>
      <c r="F5" s="16" t="n">
        <v>20</v>
      </c>
      <c r="G5" s="16" t="n">
        <v>19</v>
      </c>
    </row>
    <row r="6">
      <c r="A6" s="14" t="inlineStr">
        <is>
          <t>CM</t>
        </is>
      </c>
      <c r="B6" s="16" t="n">
        <v>19</v>
      </c>
      <c r="C6" s="16" t="n">
        <v>21</v>
      </c>
      <c r="D6" s="16" t="n">
        <v>20</v>
      </c>
      <c r="E6" s="16" t="n">
        <v>20</v>
      </c>
      <c r="F6" s="15" t="n">
        <v>23</v>
      </c>
      <c r="G6" s="16" t="n">
        <v>0</v>
      </c>
    </row>
    <row r="7">
      <c r="A7" s="14" t="inlineStr">
        <is>
          <t>GQMPS</t>
        </is>
      </c>
      <c r="B7" s="16" t="n">
        <v>18</v>
      </c>
      <c r="C7" s="16" t="n">
        <v>17</v>
      </c>
      <c r="D7" s="16" t="n">
        <v>18</v>
      </c>
      <c r="E7" s="16" t="n">
        <v>19</v>
      </c>
      <c r="F7" s="16" t="n">
        <v>0</v>
      </c>
      <c r="G7" s="15" t="n">
        <v>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IAS</t>
        </is>
      </c>
      <c r="B2" s="12" t="b">
        <v>0</v>
      </c>
      <c r="C2" s="13" t="n"/>
      <c r="D2" s="12" t="n">
        <v>1</v>
      </c>
    </row>
    <row r="3">
      <c r="A3" s="12" t="inlineStr">
        <is>
          <t>TSI</t>
        </is>
      </c>
      <c r="B3" s="12" t="b">
        <v>0</v>
      </c>
      <c r="C3" s="13" t="n"/>
      <c r="D3" s="12" t="n">
        <v>1</v>
      </c>
    </row>
    <row r="4">
      <c r="A4" s="12" t="inlineStr">
        <is>
          <t>D</t>
        </is>
      </c>
      <c r="B4" s="12" t="b">
        <v>0</v>
      </c>
      <c r="C4" s="13" t="n"/>
      <c r="D4" s="12" t="n">
        <v>2</v>
      </c>
    </row>
    <row r="5">
      <c r="A5" s="12" t="inlineStr">
        <is>
          <t>SIA</t>
        </is>
      </c>
      <c r="B5" s="12" t="b">
        <v>0</v>
      </c>
      <c r="C5" s="13" t="n"/>
      <c r="D5" s="12" t="n">
        <v>2</v>
      </c>
    </row>
    <row r="6">
      <c r="A6" s="12" t="inlineStr">
        <is>
          <t>TAAC</t>
        </is>
      </c>
      <c r="B6" s="12" t="b">
        <v>0</v>
      </c>
      <c r="C6" s="13" t="n"/>
      <c r="D6" s="12" t="n">
        <v>1</v>
      </c>
    </row>
    <row r="7">
      <c r="A7" s="12" t="inlineStr">
        <is>
          <t>TAIA</t>
        </is>
      </c>
      <c r="B7" s="12" t="b">
        <v>0</v>
      </c>
      <c r="C7" s="13" t="n"/>
      <c r="D7" s="12" t="n">
        <v>1</v>
      </c>
    </row>
    <row r="8">
      <c r="A8" s="12" t="inlineStr">
        <is>
          <t>ICD</t>
        </is>
      </c>
      <c r="B8" s="12" t="b">
        <v>0</v>
      </c>
      <c r="C8" s="13" t="n"/>
      <c r="D8" s="12" t="n">
        <v>1</v>
      </c>
    </row>
    <row r="9">
      <c r="A9" s="12" t="inlineStr">
        <is>
          <t>IIA</t>
        </is>
      </c>
      <c r="B9" s="12" t="b">
        <v>0</v>
      </c>
      <c r="C9" s="13" t="n"/>
      <c r="D9" s="12" t="n">
        <v>1</v>
      </c>
    </row>
    <row r="10">
      <c r="A10" s="12" t="inlineStr">
        <is>
          <t>CP</t>
        </is>
      </c>
      <c r="B10" s="12" t="b">
        <v>0</v>
      </c>
      <c r="C10" s="13" t="n"/>
      <c r="D10" s="12" t="n">
        <v>1</v>
      </c>
    </row>
    <row r="11">
      <c r="A11" s="12" t="inlineStr">
        <is>
          <t>EA</t>
        </is>
      </c>
      <c r="B11" s="12" t="b">
        <v>0</v>
      </c>
      <c r="C11" s="13" t="n"/>
      <c r="D11" s="12" t="n">
        <v>1</v>
      </c>
    </row>
    <row r="12">
      <c r="A12" s="12" t="inlineStr">
        <is>
          <t>MS</t>
        </is>
      </c>
      <c r="B12" s="12" t="b">
        <v>0</v>
      </c>
      <c r="C12" s="13" t="n"/>
      <c r="D12" s="12" t="n">
        <v>1</v>
      </c>
    </row>
    <row r="13">
      <c r="A13" s="12" t="inlineStr">
        <is>
          <t>PRI</t>
        </is>
      </c>
      <c r="B13" s="12" t="b">
        <v>0</v>
      </c>
      <c r="C13" s="13" t="n"/>
      <c r="D13" s="12" t="n">
        <v>1</v>
      </c>
    </row>
    <row r="14">
      <c r="A14" s="12" t="inlineStr">
        <is>
          <t>STP</t>
        </is>
      </c>
      <c r="B14" s="12" t="b">
        <v>0</v>
      </c>
      <c r="C14" s="13" t="n"/>
      <c r="D14" s="12" t="n">
        <v>1</v>
      </c>
    </row>
    <row r="15">
      <c r="A15" s="12" t="inlineStr">
        <is>
          <t>SCIC</t>
        </is>
      </c>
      <c r="B15" s="12" t="b">
        <v>0</v>
      </c>
      <c r="C15" s="13" t="n"/>
      <c r="D15" s="12" t="n">
        <v>1</v>
      </c>
    </row>
    <row r="16">
      <c r="A16" s="12" t="inlineStr">
        <is>
          <t>DSEPASE</t>
        </is>
      </c>
      <c r="B16" s="12" t="b">
        <v>0</v>
      </c>
      <c r="C16" s="13" t="n"/>
      <c r="D16" s="12" t="n">
        <v>1</v>
      </c>
    </row>
    <row r="17">
      <c r="A17" s="12" t="inlineStr">
        <is>
          <t>SEESTE</t>
        </is>
      </c>
      <c r="B17" s="12" t="b">
        <v>0</v>
      </c>
      <c r="C17" s="13" t="n"/>
      <c r="D17" s="12" t="n">
        <v>1</v>
      </c>
    </row>
    <row r="18">
      <c r="A18" s="12" t="inlineStr">
        <is>
          <t>ES</t>
        </is>
      </c>
      <c r="B18" s="12" t="b">
        <v>0</v>
      </c>
      <c r="C18" s="13" t="n"/>
      <c r="D18" s="12" t="n">
        <v>1</v>
      </c>
    </row>
    <row r="19">
      <c r="A19" s="12" t="inlineStr">
        <is>
          <t>SALM</t>
        </is>
      </c>
      <c r="B19" s="12" t="b">
        <v>0</v>
      </c>
      <c r="C19" s="13" t="n"/>
      <c r="D19" s="12" t="n">
        <v>1</v>
      </c>
    </row>
    <row r="20">
      <c r="A20" s="12" t="inlineStr">
        <is>
          <t>PECIA</t>
        </is>
      </c>
      <c r="B20" s="12" t="b">
        <v>0</v>
      </c>
      <c r="C20" s="13" t="n"/>
      <c r="D20" s="12" t="n">
        <v>1</v>
      </c>
    </row>
  </sheetData>
  <dataValidations count="2">
    <dataValidation sqref="B2:B20" showDropDown="0" showInputMessage="0" showErrorMessage="0" allowBlank="1" type="list">
      <formula1>"TRUE,FALSE"</formula1>
    </dataValidation>
    <dataValidation sqref="C2:C20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4" t="inlineStr">
        <is>
          <t>UC \ UC</t>
        </is>
      </c>
      <c r="B1" s="14" t="inlineStr">
        <is>
          <t>IAS</t>
        </is>
      </c>
      <c r="C1" s="14" t="inlineStr">
        <is>
          <t>TSI</t>
        </is>
      </c>
      <c r="D1" s="14" t="inlineStr">
        <is>
          <t>D</t>
        </is>
      </c>
      <c r="E1" s="14" t="inlineStr">
        <is>
          <t>SIA</t>
        </is>
      </c>
      <c r="F1" s="14" t="inlineStr">
        <is>
          <t>TAAC</t>
        </is>
      </c>
      <c r="G1" s="14" t="inlineStr">
        <is>
          <t>TAIA</t>
        </is>
      </c>
      <c r="H1" s="14" t="inlineStr">
        <is>
          <t>ICD</t>
        </is>
      </c>
      <c r="I1" s="14" t="inlineStr">
        <is>
          <t>IIA</t>
        </is>
      </c>
      <c r="J1" s="14" t="inlineStr">
        <is>
          <t>CP</t>
        </is>
      </c>
      <c r="K1" s="14" t="inlineStr">
        <is>
          <t>EA</t>
        </is>
      </c>
      <c r="L1" s="14" t="inlineStr">
        <is>
          <t>MS</t>
        </is>
      </c>
      <c r="M1" s="14" t="inlineStr">
        <is>
          <t>PRI</t>
        </is>
      </c>
      <c r="N1" s="14" t="inlineStr">
        <is>
          <t>STP</t>
        </is>
      </c>
      <c r="O1" s="14" t="inlineStr">
        <is>
          <t>SCIC</t>
        </is>
      </c>
      <c r="P1" s="14" t="inlineStr">
        <is>
          <t>DSEPASE</t>
        </is>
      </c>
      <c r="Q1" s="14" t="inlineStr">
        <is>
          <t>SEESTE</t>
        </is>
      </c>
      <c r="R1" s="14" t="inlineStr">
        <is>
          <t>ES</t>
        </is>
      </c>
      <c r="S1" s="14" t="inlineStr">
        <is>
          <t>SALM</t>
        </is>
      </c>
      <c r="T1" s="14" t="inlineStr">
        <is>
          <t>PECIA</t>
        </is>
      </c>
    </row>
    <row r="2">
      <c r="A2" s="14" t="inlineStr">
        <is>
          <t>IAS</t>
        </is>
      </c>
      <c r="B2" s="15" t="n">
        <v>58</v>
      </c>
      <c r="C2" s="16" t="n">
        <v>55</v>
      </c>
      <c r="D2" s="16" t="n">
        <v>0</v>
      </c>
      <c r="E2" s="16" t="n">
        <v>0</v>
      </c>
      <c r="F2" s="16" t="n">
        <v>27</v>
      </c>
      <c r="G2" s="16" t="n">
        <v>50</v>
      </c>
      <c r="H2" s="16" t="n">
        <v>26</v>
      </c>
      <c r="I2" s="16" t="n">
        <v>2</v>
      </c>
      <c r="J2" s="16" t="n">
        <v>1</v>
      </c>
      <c r="K2" s="16" t="n">
        <v>2</v>
      </c>
      <c r="L2" s="16" t="n">
        <v>29</v>
      </c>
      <c r="M2" s="16" t="n">
        <v>0</v>
      </c>
      <c r="N2" s="16" t="n">
        <v>10</v>
      </c>
      <c r="O2" s="16" t="n">
        <v>5</v>
      </c>
      <c r="P2" s="16" t="n">
        <v>0</v>
      </c>
      <c r="Q2" s="16" t="n">
        <v>0</v>
      </c>
      <c r="R2" s="16" t="n">
        <v>0</v>
      </c>
      <c r="S2" s="16" t="n">
        <v>0</v>
      </c>
      <c r="T2" s="16" t="n">
        <v>0</v>
      </c>
    </row>
    <row r="3">
      <c r="A3" s="14" t="inlineStr">
        <is>
          <t>TSI</t>
        </is>
      </c>
      <c r="B3" s="16" t="n">
        <v>55</v>
      </c>
      <c r="C3" s="15" t="n">
        <v>61</v>
      </c>
      <c r="D3" s="16" t="n">
        <v>0</v>
      </c>
      <c r="E3" s="16" t="n">
        <v>2</v>
      </c>
      <c r="F3" s="16" t="n">
        <v>27</v>
      </c>
      <c r="G3" s="16" t="n">
        <v>51</v>
      </c>
      <c r="H3" s="16" t="n">
        <v>26</v>
      </c>
      <c r="I3" s="16" t="n">
        <v>1</v>
      </c>
      <c r="J3" s="16" t="n">
        <v>1</v>
      </c>
      <c r="K3" s="16" t="n">
        <v>2</v>
      </c>
      <c r="L3" s="16" t="n">
        <v>29</v>
      </c>
      <c r="M3" s="16" t="n">
        <v>0</v>
      </c>
      <c r="N3" s="16" t="n">
        <v>11</v>
      </c>
      <c r="O3" s="16" t="n">
        <v>5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</row>
    <row r="4">
      <c r="A4" s="14" t="inlineStr">
        <is>
          <t>D</t>
        </is>
      </c>
      <c r="B4" s="16" t="n">
        <v>0</v>
      </c>
      <c r="C4" s="16" t="n">
        <v>0</v>
      </c>
      <c r="D4" s="15" t="n">
        <v>53</v>
      </c>
      <c r="E4" s="16" t="n">
        <v>46</v>
      </c>
      <c r="F4" s="16" t="n">
        <v>0</v>
      </c>
      <c r="G4" s="16" t="n">
        <v>1</v>
      </c>
      <c r="H4" s="16" t="n">
        <v>0</v>
      </c>
      <c r="I4" s="16" t="n">
        <v>0</v>
      </c>
      <c r="J4" s="16" t="n">
        <v>3</v>
      </c>
      <c r="K4" s="16" t="n">
        <v>3</v>
      </c>
      <c r="L4" s="16" t="n">
        <v>6</v>
      </c>
      <c r="M4" s="16" t="n">
        <v>0</v>
      </c>
      <c r="N4" s="16" t="n">
        <v>21</v>
      </c>
      <c r="O4" s="16" t="n">
        <v>10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</row>
    <row r="5">
      <c r="A5" s="14" t="inlineStr">
        <is>
          <t>SIA</t>
        </is>
      </c>
      <c r="B5" s="16" t="n">
        <v>0</v>
      </c>
      <c r="C5" s="16" t="n">
        <v>2</v>
      </c>
      <c r="D5" s="16" t="n">
        <v>46</v>
      </c>
      <c r="E5" s="15" t="n">
        <v>50</v>
      </c>
      <c r="F5" s="16" t="n">
        <v>0</v>
      </c>
      <c r="G5" s="16" t="n">
        <v>1</v>
      </c>
      <c r="H5" s="16" t="n">
        <v>0</v>
      </c>
      <c r="I5" s="16" t="n">
        <v>0</v>
      </c>
      <c r="J5" s="16" t="n">
        <v>3</v>
      </c>
      <c r="K5" s="16" t="n">
        <v>3</v>
      </c>
      <c r="L5" s="16" t="n">
        <v>6</v>
      </c>
      <c r="M5" s="16" t="n">
        <v>0</v>
      </c>
      <c r="N5" s="16" t="n">
        <v>22</v>
      </c>
      <c r="O5" s="16" t="n">
        <v>10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</row>
    <row r="6">
      <c r="A6" s="14" t="inlineStr">
        <is>
          <t>TAAC</t>
        </is>
      </c>
      <c r="B6" s="16" t="n">
        <v>27</v>
      </c>
      <c r="C6" s="16" t="n">
        <v>27</v>
      </c>
      <c r="D6" s="16" t="n">
        <v>0</v>
      </c>
      <c r="E6" s="16" t="n">
        <v>0</v>
      </c>
      <c r="F6" s="15" t="n">
        <v>31</v>
      </c>
      <c r="G6" s="16" t="n">
        <v>26</v>
      </c>
      <c r="H6" s="16" t="n">
        <v>0</v>
      </c>
      <c r="I6" s="16" t="n">
        <v>0</v>
      </c>
      <c r="J6" s="16" t="n">
        <v>1</v>
      </c>
      <c r="K6" s="16" t="n">
        <v>1</v>
      </c>
      <c r="L6" s="16" t="n">
        <v>13</v>
      </c>
      <c r="M6" s="16" t="n">
        <v>0</v>
      </c>
      <c r="N6" s="16" t="n">
        <v>8</v>
      </c>
      <c r="O6" s="16" t="n">
        <v>2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</row>
    <row r="7">
      <c r="A7" s="14" t="inlineStr">
        <is>
          <t>TAIA</t>
        </is>
      </c>
      <c r="B7" s="16" t="n">
        <v>50</v>
      </c>
      <c r="C7" s="16" t="n">
        <v>51</v>
      </c>
      <c r="D7" s="16" t="n">
        <v>1</v>
      </c>
      <c r="E7" s="16" t="n">
        <v>1</v>
      </c>
      <c r="F7" s="16" t="n">
        <v>26</v>
      </c>
      <c r="G7" s="15" t="n">
        <v>52</v>
      </c>
      <c r="H7" s="16" t="n">
        <v>24</v>
      </c>
      <c r="I7" s="16" t="n">
        <v>0</v>
      </c>
      <c r="J7" s="16" t="n">
        <v>1</v>
      </c>
      <c r="K7" s="16" t="n">
        <v>2</v>
      </c>
      <c r="L7" s="16" t="n">
        <v>30</v>
      </c>
      <c r="M7" s="16" t="n">
        <v>0</v>
      </c>
      <c r="N7" s="16" t="n">
        <v>11</v>
      </c>
      <c r="O7" s="16" t="n">
        <v>4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</row>
    <row r="8">
      <c r="A8" s="14" t="inlineStr">
        <is>
          <t>ICD</t>
        </is>
      </c>
      <c r="B8" s="16" t="n">
        <v>26</v>
      </c>
      <c r="C8" s="16" t="n">
        <v>26</v>
      </c>
      <c r="D8" s="16" t="n">
        <v>0</v>
      </c>
      <c r="E8" s="16" t="n">
        <v>0</v>
      </c>
      <c r="F8" s="16" t="n">
        <v>0</v>
      </c>
      <c r="G8" s="16" t="n">
        <v>24</v>
      </c>
      <c r="H8" s="15" t="n">
        <v>28</v>
      </c>
      <c r="I8" s="16" t="n">
        <v>2</v>
      </c>
      <c r="J8" s="16" t="n">
        <v>0</v>
      </c>
      <c r="K8" s="16" t="n">
        <v>1</v>
      </c>
      <c r="L8" s="16" t="n">
        <v>15</v>
      </c>
      <c r="M8" s="16" t="n">
        <v>0</v>
      </c>
      <c r="N8" s="16" t="n">
        <v>2</v>
      </c>
      <c r="O8" s="16" t="n">
        <v>2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</row>
    <row r="9">
      <c r="A9" s="14" t="inlineStr">
        <is>
          <t>IIA</t>
        </is>
      </c>
      <c r="B9" s="16" t="n">
        <v>2</v>
      </c>
      <c r="C9" s="16" t="n">
        <v>1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2</v>
      </c>
      <c r="I9" s="15" t="n">
        <v>12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</row>
    <row r="10">
      <c r="A10" s="14" t="inlineStr">
        <is>
          <t>CP</t>
        </is>
      </c>
      <c r="B10" s="16" t="n">
        <v>1</v>
      </c>
      <c r="C10" s="16" t="n">
        <v>1</v>
      </c>
      <c r="D10" s="16" t="n">
        <v>3</v>
      </c>
      <c r="E10" s="16" t="n">
        <v>3</v>
      </c>
      <c r="F10" s="16" t="n">
        <v>1</v>
      </c>
      <c r="G10" s="16" t="n">
        <v>1</v>
      </c>
      <c r="H10" s="16" t="n">
        <v>0</v>
      </c>
      <c r="I10" s="16" t="n">
        <v>0</v>
      </c>
      <c r="J10" s="15" t="n">
        <v>4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</row>
    <row r="11">
      <c r="A11" s="14" t="inlineStr">
        <is>
          <t>EA</t>
        </is>
      </c>
      <c r="B11" s="16" t="n">
        <v>2</v>
      </c>
      <c r="C11" s="16" t="n">
        <v>2</v>
      </c>
      <c r="D11" s="16" t="n">
        <v>3</v>
      </c>
      <c r="E11" s="16" t="n">
        <v>3</v>
      </c>
      <c r="F11" s="16" t="n">
        <v>1</v>
      </c>
      <c r="G11" s="16" t="n">
        <v>2</v>
      </c>
      <c r="H11" s="16" t="n">
        <v>1</v>
      </c>
      <c r="I11" s="16" t="n">
        <v>0</v>
      </c>
      <c r="J11" s="16" t="n">
        <v>0</v>
      </c>
      <c r="K11" s="15" t="n">
        <v>5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</row>
    <row r="12">
      <c r="A12" s="14" t="inlineStr">
        <is>
          <t>MS</t>
        </is>
      </c>
      <c r="B12" s="16" t="n">
        <v>29</v>
      </c>
      <c r="C12" s="16" t="n">
        <v>29</v>
      </c>
      <c r="D12" s="16" t="n">
        <v>6</v>
      </c>
      <c r="E12" s="16" t="n">
        <v>6</v>
      </c>
      <c r="F12" s="16" t="n">
        <v>13</v>
      </c>
      <c r="G12" s="16" t="n">
        <v>30</v>
      </c>
      <c r="H12" s="16" t="n">
        <v>15</v>
      </c>
      <c r="I12" s="16" t="n">
        <v>0</v>
      </c>
      <c r="J12" s="16" t="n">
        <v>0</v>
      </c>
      <c r="K12" s="16" t="n">
        <v>0</v>
      </c>
      <c r="L12" s="15" t="n">
        <v>35</v>
      </c>
      <c r="M12" s="16" t="n">
        <v>0</v>
      </c>
      <c r="N12" s="16" t="n">
        <v>2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</row>
    <row r="13">
      <c r="A13" s="14" t="inlineStr">
        <is>
          <t>PRI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5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</row>
    <row r="14">
      <c r="A14" s="14" t="inlineStr">
        <is>
          <t>STP</t>
        </is>
      </c>
      <c r="B14" s="16" t="n">
        <v>10</v>
      </c>
      <c r="C14" s="16" t="n">
        <v>11</v>
      </c>
      <c r="D14" s="16" t="n">
        <v>21</v>
      </c>
      <c r="E14" s="16" t="n">
        <v>22</v>
      </c>
      <c r="F14" s="16" t="n">
        <v>8</v>
      </c>
      <c r="G14" s="16" t="n">
        <v>11</v>
      </c>
      <c r="H14" s="16" t="n">
        <v>2</v>
      </c>
      <c r="I14" s="16" t="n">
        <v>0</v>
      </c>
      <c r="J14" s="16" t="n">
        <v>0</v>
      </c>
      <c r="K14" s="16" t="n">
        <v>0</v>
      </c>
      <c r="L14" s="16" t="n">
        <v>2</v>
      </c>
      <c r="M14" s="16" t="n">
        <v>0</v>
      </c>
      <c r="N14" s="15" t="n">
        <v>33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</row>
    <row r="15">
      <c r="A15" s="14" t="inlineStr">
        <is>
          <t>SCIC</t>
        </is>
      </c>
      <c r="B15" s="16" t="n">
        <v>5</v>
      </c>
      <c r="C15" s="16" t="n">
        <v>5</v>
      </c>
      <c r="D15" s="16" t="n">
        <v>10</v>
      </c>
      <c r="E15" s="16" t="n">
        <v>10</v>
      </c>
      <c r="F15" s="16" t="n">
        <v>2</v>
      </c>
      <c r="G15" s="16" t="n">
        <v>4</v>
      </c>
      <c r="H15" s="16" t="n">
        <v>2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5" t="n">
        <v>15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</row>
    <row r="16">
      <c r="A16" s="14" t="inlineStr">
        <is>
          <t>DSEPASE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5" t="n">
        <v>44</v>
      </c>
      <c r="Q16" s="16" t="n">
        <v>0</v>
      </c>
      <c r="R16" s="16" t="n">
        <v>0</v>
      </c>
      <c r="S16" s="16" t="n">
        <v>0</v>
      </c>
      <c r="T16" s="16" t="n">
        <v>0</v>
      </c>
    </row>
    <row r="17">
      <c r="A17" s="14" t="inlineStr">
        <is>
          <t>SEESTE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5" t="n">
        <v>52</v>
      </c>
      <c r="R17" s="16" t="n">
        <v>0</v>
      </c>
      <c r="S17" s="16" t="n">
        <v>0</v>
      </c>
      <c r="T17" s="16" t="n">
        <v>0</v>
      </c>
    </row>
    <row r="18">
      <c r="A18" s="14" t="inlineStr">
        <is>
          <t>ES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5" t="n">
        <v>61</v>
      </c>
      <c r="S18" s="16" t="n">
        <v>0</v>
      </c>
      <c r="T18" s="16" t="n">
        <v>0</v>
      </c>
    </row>
    <row r="19">
      <c r="A19" s="14" t="inlineStr">
        <is>
          <t>SALM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5" t="n">
        <v>37</v>
      </c>
      <c r="T19" s="16" t="n">
        <v>0</v>
      </c>
    </row>
    <row r="20">
      <c r="A20" s="14" t="inlineStr">
        <is>
          <t>PECIA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5" t="n">
        <v>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ACPR</t>
        </is>
      </c>
      <c r="B2" s="12" t="b">
        <v>0</v>
      </c>
      <c r="C2" s="13" t="n"/>
      <c r="D2" s="12" t="n">
        <v>1</v>
      </c>
    </row>
    <row r="3">
      <c r="A3" s="12" t="inlineStr">
        <is>
          <t>PLN</t>
        </is>
      </c>
      <c r="B3" s="12" t="b">
        <v>0</v>
      </c>
      <c r="C3" s="13" t="n"/>
      <c r="D3" s="12" t="n">
        <v>1</v>
      </c>
    </row>
    <row r="4">
      <c r="A4" s="12" t="inlineStr">
        <is>
          <t>VC</t>
        </is>
      </c>
      <c r="B4" s="12" t="b">
        <v>0</v>
      </c>
      <c r="C4" s="13" t="n"/>
      <c r="D4" s="12" t="n">
        <v>1</v>
      </c>
    </row>
    <row r="5">
      <c r="A5" s="12" t="inlineStr">
        <is>
          <t>TRI</t>
        </is>
      </c>
      <c r="B5" s="12" t="b">
        <v>0</v>
      </c>
      <c r="C5" s="13" t="n"/>
      <c r="D5" s="12" t="n">
        <v>1</v>
      </c>
    </row>
    <row r="6">
      <c r="A6" s="12" t="inlineStr">
        <is>
          <t>BIO</t>
        </is>
      </c>
      <c r="B6" s="12" t="b">
        <v>0</v>
      </c>
      <c r="C6" s="13" t="n"/>
      <c r="D6" s="12" t="n">
        <v>1</v>
      </c>
    </row>
    <row r="7">
      <c r="A7" s="12" t="inlineStr">
        <is>
          <t>CR</t>
        </is>
      </c>
      <c r="B7" s="12" t="b">
        <v>0</v>
      </c>
      <c r="C7" s="13" t="n"/>
      <c r="D7" s="12" t="n">
        <v>1</v>
      </c>
    </row>
    <row r="8">
      <c r="A8" s="12" t="inlineStr">
        <is>
          <t>CAC</t>
        </is>
      </c>
      <c r="B8" s="12" t="b">
        <v>0</v>
      </c>
      <c r="C8" s="13" t="n"/>
      <c r="D8" s="12" t="n">
        <v>1</v>
      </c>
    </row>
    <row r="9">
      <c r="A9" s="12" t="inlineStr">
        <is>
          <t>DSM</t>
        </is>
      </c>
      <c r="B9" s="12" t="b">
        <v>0</v>
      </c>
      <c r="C9" s="13" t="n"/>
      <c r="D9" s="12" t="n">
        <v>1</v>
      </c>
    </row>
    <row r="10">
      <c r="A10" s="12" t="inlineStr">
        <is>
          <t>DDDM</t>
        </is>
      </c>
      <c r="B10" s="12" t="b">
        <v>0</v>
      </c>
      <c r="C10" s="13" t="n"/>
      <c r="D10" s="12" t="n">
        <v>1</v>
      </c>
    </row>
    <row r="11">
      <c r="A11" s="12" t="inlineStr">
        <is>
          <t>O</t>
        </is>
      </c>
      <c r="B11" s="12" t="b">
        <v>0</v>
      </c>
      <c r="C11" s="13" t="n"/>
      <c r="D11" s="12" t="n">
        <v>1</v>
      </c>
    </row>
    <row r="12">
      <c r="A12" s="12" t="inlineStr">
        <is>
          <t>TACD</t>
        </is>
      </c>
      <c r="B12" s="12" t="b">
        <v>0</v>
      </c>
      <c r="C12" s="13" t="n"/>
      <c r="D12" s="12" t="n">
        <v>1</v>
      </c>
    </row>
    <row r="13">
      <c r="A13" s="12" t="inlineStr">
        <is>
          <t>DSEPASE</t>
        </is>
      </c>
      <c r="B13" s="12" t="b">
        <v>0</v>
      </c>
      <c r="C13" s="13" t="n"/>
      <c r="D13" s="12" t="n">
        <v>1</v>
      </c>
    </row>
    <row r="14">
      <c r="A14" s="12" t="inlineStr">
        <is>
          <t>SEESTE</t>
        </is>
      </c>
      <c r="B14" s="12" t="b">
        <v>0</v>
      </c>
      <c r="C14" s="13" t="n"/>
      <c r="D14" s="12" t="n">
        <v>1</v>
      </c>
    </row>
    <row r="15">
      <c r="A15" s="12" t="inlineStr">
        <is>
          <t>ES</t>
        </is>
      </c>
      <c r="B15" s="12" t="b">
        <v>0</v>
      </c>
      <c r="C15" s="13" t="n"/>
      <c r="D15" s="12" t="n">
        <v>1</v>
      </c>
    </row>
    <row r="16">
      <c r="A16" s="12" t="inlineStr">
        <is>
          <t>CVCC</t>
        </is>
      </c>
      <c r="B16" s="12" t="b">
        <v>0</v>
      </c>
      <c r="C16" s="13" t="n"/>
      <c r="D16" s="12" t="n">
        <v>1</v>
      </c>
    </row>
    <row r="17">
      <c r="A17" s="12" t="inlineStr">
        <is>
          <t>PECIA</t>
        </is>
      </c>
      <c r="B17" s="12" t="b">
        <v>0</v>
      </c>
      <c r="C17" s="13" t="n"/>
      <c r="D17" s="12" t="n">
        <v>1</v>
      </c>
    </row>
  </sheetData>
  <dataValidations count="2">
    <dataValidation sqref="B2:B17" showDropDown="0" showInputMessage="0" showErrorMessage="0" allowBlank="1" type="list">
      <formula1>"TRUE,FALSE"</formula1>
    </dataValidation>
    <dataValidation sqref="C2:C17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4" t="inlineStr">
        <is>
          <t>UC \ UC</t>
        </is>
      </c>
      <c r="B1" s="14" t="inlineStr">
        <is>
          <t>ACPR</t>
        </is>
      </c>
      <c r="C1" s="14" t="inlineStr">
        <is>
          <t>PLN</t>
        </is>
      </c>
      <c r="D1" s="14" t="inlineStr">
        <is>
          <t>VC</t>
        </is>
      </c>
      <c r="E1" s="14" t="inlineStr">
        <is>
          <t>TRI</t>
        </is>
      </c>
      <c r="F1" s="14" t="inlineStr">
        <is>
          <t>BIO</t>
        </is>
      </c>
      <c r="G1" s="14" t="inlineStr">
        <is>
          <t>CR</t>
        </is>
      </c>
      <c r="H1" s="14" t="inlineStr">
        <is>
          <t>CAC</t>
        </is>
      </c>
      <c r="I1" s="14" t="inlineStr">
        <is>
          <t>DSM</t>
        </is>
      </c>
      <c r="J1" s="14" t="inlineStr">
        <is>
          <t>DDDM</t>
        </is>
      </c>
      <c r="K1" s="14" t="inlineStr">
        <is>
          <t>O</t>
        </is>
      </c>
      <c r="L1" s="14" t="inlineStr">
        <is>
          <t>TACD</t>
        </is>
      </c>
      <c r="M1" s="14" t="inlineStr">
        <is>
          <t>DSEPASE</t>
        </is>
      </c>
      <c r="N1" s="14" t="inlineStr">
        <is>
          <t>SEESTE</t>
        </is>
      </c>
      <c r="O1" s="14" t="inlineStr">
        <is>
          <t>ES</t>
        </is>
      </c>
      <c r="P1" s="14" t="inlineStr">
        <is>
          <t>CVCC</t>
        </is>
      </c>
      <c r="Q1" s="14" t="inlineStr">
        <is>
          <t>PECIA</t>
        </is>
      </c>
    </row>
    <row r="2">
      <c r="A2" s="14" t="inlineStr">
        <is>
          <t>ACPR</t>
        </is>
      </c>
      <c r="B2" s="15" t="n">
        <v>61</v>
      </c>
      <c r="C2" s="16" t="n">
        <v>55</v>
      </c>
      <c r="D2" s="16" t="n">
        <v>54</v>
      </c>
      <c r="E2" s="16" t="n">
        <v>53</v>
      </c>
      <c r="F2" s="16" t="n">
        <v>2</v>
      </c>
      <c r="G2" s="16" t="n">
        <v>4</v>
      </c>
      <c r="H2" s="16" t="n">
        <v>27</v>
      </c>
      <c r="I2" s="16" t="n">
        <v>8</v>
      </c>
      <c r="J2" s="16" t="n">
        <v>0</v>
      </c>
      <c r="K2" s="16" t="n">
        <v>3</v>
      </c>
      <c r="L2" s="16" t="n">
        <v>4</v>
      </c>
      <c r="M2" s="16" t="n">
        <v>0</v>
      </c>
      <c r="N2" s="16" t="n">
        <v>0</v>
      </c>
      <c r="O2" s="16" t="n">
        <v>0</v>
      </c>
      <c r="P2" s="16" t="n">
        <v>0</v>
      </c>
      <c r="Q2" s="16" t="n">
        <v>0</v>
      </c>
    </row>
    <row r="3">
      <c r="A3" s="14" t="inlineStr">
        <is>
          <t>PLN</t>
        </is>
      </c>
      <c r="B3" s="16" t="n">
        <v>55</v>
      </c>
      <c r="C3" s="15" t="n">
        <v>62</v>
      </c>
      <c r="D3" s="16" t="n">
        <v>57</v>
      </c>
      <c r="E3" s="16" t="n">
        <v>56</v>
      </c>
      <c r="F3" s="16" t="n">
        <v>2</v>
      </c>
      <c r="G3" s="16" t="n">
        <v>4</v>
      </c>
      <c r="H3" s="16" t="n">
        <v>27</v>
      </c>
      <c r="I3" s="16" t="n">
        <v>8</v>
      </c>
      <c r="J3" s="16" t="n">
        <v>0</v>
      </c>
      <c r="K3" s="16" t="n">
        <v>3</v>
      </c>
      <c r="L3" s="16" t="n">
        <v>4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</row>
    <row r="4">
      <c r="A4" s="14" t="inlineStr">
        <is>
          <t>VC</t>
        </is>
      </c>
      <c r="B4" s="16" t="n">
        <v>54</v>
      </c>
      <c r="C4" s="16" t="n">
        <v>57</v>
      </c>
      <c r="D4" s="15" t="n">
        <v>64</v>
      </c>
      <c r="E4" s="16" t="n">
        <v>55</v>
      </c>
      <c r="F4" s="16" t="n">
        <v>2</v>
      </c>
      <c r="G4" s="16" t="n">
        <v>4</v>
      </c>
      <c r="H4" s="16" t="n">
        <v>27</v>
      </c>
      <c r="I4" s="16" t="n">
        <v>8</v>
      </c>
      <c r="J4" s="16" t="n">
        <v>0</v>
      </c>
      <c r="K4" s="16" t="n">
        <v>4</v>
      </c>
      <c r="L4" s="16" t="n">
        <v>4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</row>
    <row r="5">
      <c r="A5" s="14" t="inlineStr">
        <is>
          <t>TRI</t>
        </is>
      </c>
      <c r="B5" s="16" t="n">
        <v>53</v>
      </c>
      <c r="C5" s="16" t="n">
        <v>56</v>
      </c>
      <c r="D5" s="16" t="n">
        <v>55</v>
      </c>
      <c r="E5" s="15" t="n">
        <v>61</v>
      </c>
      <c r="F5" s="16" t="n">
        <v>2</v>
      </c>
      <c r="G5" s="16" t="n">
        <v>5</v>
      </c>
      <c r="H5" s="16" t="n">
        <v>27</v>
      </c>
      <c r="I5" s="16" t="n">
        <v>8</v>
      </c>
      <c r="J5" s="16" t="n">
        <v>0</v>
      </c>
      <c r="K5" s="16" t="n">
        <v>3</v>
      </c>
      <c r="L5" s="16" t="n">
        <v>4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</row>
    <row r="6">
      <c r="A6" s="14" t="inlineStr">
        <is>
          <t>BIO</t>
        </is>
      </c>
      <c r="B6" s="16" t="n">
        <v>2</v>
      </c>
      <c r="C6" s="16" t="n">
        <v>2</v>
      </c>
      <c r="D6" s="16" t="n">
        <v>2</v>
      </c>
      <c r="E6" s="16" t="n">
        <v>2</v>
      </c>
      <c r="F6" s="15" t="n">
        <v>2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</row>
    <row r="7">
      <c r="A7" s="14" t="inlineStr">
        <is>
          <t>CR</t>
        </is>
      </c>
      <c r="B7" s="16" t="n">
        <v>4</v>
      </c>
      <c r="C7" s="16" t="n">
        <v>4</v>
      </c>
      <c r="D7" s="16" t="n">
        <v>4</v>
      </c>
      <c r="E7" s="16" t="n">
        <v>5</v>
      </c>
      <c r="F7" s="16" t="n">
        <v>0</v>
      </c>
      <c r="G7" s="15" t="n">
        <v>5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</row>
    <row r="8">
      <c r="A8" s="14" t="inlineStr">
        <is>
          <t>CAC</t>
        </is>
      </c>
      <c r="B8" s="16" t="n">
        <v>27</v>
      </c>
      <c r="C8" s="16" t="n">
        <v>27</v>
      </c>
      <c r="D8" s="16" t="n">
        <v>27</v>
      </c>
      <c r="E8" s="16" t="n">
        <v>27</v>
      </c>
      <c r="F8" s="16" t="n">
        <v>0</v>
      </c>
      <c r="G8" s="16" t="n">
        <v>0</v>
      </c>
      <c r="H8" s="15" t="n">
        <v>27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</row>
    <row r="9">
      <c r="A9" s="14" t="inlineStr">
        <is>
          <t>DSM</t>
        </is>
      </c>
      <c r="B9" s="16" t="n">
        <v>8</v>
      </c>
      <c r="C9" s="16" t="n">
        <v>8</v>
      </c>
      <c r="D9" s="16" t="n">
        <v>8</v>
      </c>
      <c r="E9" s="16" t="n">
        <v>8</v>
      </c>
      <c r="F9" s="16" t="n">
        <v>0</v>
      </c>
      <c r="G9" s="16" t="n">
        <v>0</v>
      </c>
      <c r="H9" s="16" t="n">
        <v>0</v>
      </c>
      <c r="I9" s="15" t="n">
        <v>8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</row>
    <row r="10">
      <c r="A10" s="14" t="inlineStr">
        <is>
          <t>DDDM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5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</row>
    <row r="11">
      <c r="A11" s="14" t="inlineStr">
        <is>
          <t>O</t>
        </is>
      </c>
      <c r="B11" s="16" t="n">
        <v>3</v>
      </c>
      <c r="C11" s="16" t="n">
        <v>3</v>
      </c>
      <c r="D11" s="16" t="n">
        <v>4</v>
      </c>
      <c r="E11" s="16" t="n">
        <v>3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5" t="n">
        <v>4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</row>
    <row r="12">
      <c r="A12" s="14" t="inlineStr">
        <is>
          <t>TACD</t>
        </is>
      </c>
      <c r="B12" s="16" t="n">
        <v>4</v>
      </c>
      <c r="C12" s="16" t="n">
        <v>4</v>
      </c>
      <c r="D12" s="16" t="n">
        <v>4</v>
      </c>
      <c r="E12" s="16" t="n">
        <v>4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5" t="n">
        <v>4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</row>
    <row r="13">
      <c r="A13" s="14" t="inlineStr">
        <is>
          <t>DSEPASE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5" t="n">
        <v>48</v>
      </c>
      <c r="N13" s="16" t="n">
        <v>0</v>
      </c>
      <c r="O13" s="16" t="n">
        <v>0</v>
      </c>
      <c r="P13" s="16" t="n">
        <v>0</v>
      </c>
      <c r="Q13" s="16" t="n">
        <v>0</v>
      </c>
    </row>
    <row r="14">
      <c r="A14" s="14" t="inlineStr">
        <is>
          <t>SEESTE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5" t="n">
        <v>41</v>
      </c>
      <c r="O14" s="16" t="n">
        <v>1</v>
      </c>
      <c r="P14" s="16" t="n">
        <v>0</v>
      </c>
      <c r="Q14" s="16" t="n">
        <v>0</v>
      </c>
    </row>
    <row r="15">
      <c r="A15" s="14" t="inlineStr">
        <is>
          <t>ES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1</v>
      </c>
      <c r="O15" s="15" t="n">
        <v>55</v>
      </c>
      <c r="P15" s="16" t="n">
        <v>0</v>
      </c>
      <c r="Q15" s="16" t="n">
        <v>0</v>
      </c>
    </row>
    <row r="16">
      <c r="A16" s="14" t="inlineStr">
        <is>
          <t>CVCC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5" t="n">
        <v>42</v>
      </c>
      <c r="Q16" s="16" t="n">
        <v>0</v>
      </c>
    </row>
    <row r="17">
      <c r="A17" s="14" t="inlineStr">
        <is>
          <t>PECIA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5" t="n">
        <v>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SDI</t>
        </is>
      </c>
      <c r="B2" s="12" t="b">
        <v>0</v>
      </c>
      <c r="C2" s="13" t="n"/>
      <c r="D2" s="12" t="n">
        <v>1</v>
      </c>
    </row>
    <row r="3">
      <c r="A3" s="12" t="inlineStr">
        <is>
          <t>TCM</t>
        </is>
      </c>
      <c r="B3" s="12" t="b">
        <v>0</v>
      </c>
      <c r="C3" s="13" t="n"/>
      <c r="D3" s="12" t="n">
        <v>1</v>
      </c>
    </row>
    <row r="4">
      <c r="A4" s="12" t="inlineStr">
        <is>
          <t>ACM</t>
        </is>
      </c>
      <c r="B4" s="12" t="b">
        <v>0</v>
      </c>
      <c r="C4" s="13" t="n"/>
      <c r="D4" s="12" t="n">
        <v>1</v>
      </c>
    </row>
    <row r="5">
      <c r="A5" s="12" t="inlineStr">
        <is>
          <t>EDM</t>
        </is>
      </c>
      <c r="B5" s="12" t="b">
        <v>0</v>
      </c>
      <c r="C5" s="13" t="n"/>
      <c r="D5" s="12" t="n">
        <v>1</v>
      </c>
    </row>
    <row r="6">
      <c r="A6" s="12" t="inlineStr">
        <is>
          <t>FC</t>
        </is>
      </c>
      <c r="B6" s="12" t="b">
        <v>0</v>
      </c>
      <c r="C6" s="13" t="n"/>
      <c r="D6" s="12" t="n">
        <v>1</v>
      </c>
    </row>
    <row r="7">
      <c r="A7" s="12" t="inlineStr">
        <is>
          <t>TW</t>
        </is>
      </c>
      <c r="B7" s="12" t="b">
        <v>0</v>
      </c>
      <c r="C7" s="13" t="n"/>
      <c r="D7" s="12" t="n">
        <v>1</v>
      </c>
    </row>
    <row r="8">
      <c r="A8" s="12" t="inlineStr">
        <is>
          <t>LM</t>
        </is>
      </c>
      <c r="B8" s="12" t="b">
        <v>0</v>
      </c>
      <c r="C8" s="13" t="n"/>
      <c r="D8" s="12" t="n">
        <v>1</v>
      </c>
    </row>
    <row r="9">
      <c r="A9" s="12" t="inlineStr">
        <is>
          <t>CE-L</t>
        </is>
      </c>
      <c r="B9" s="12" t="b">
        <v>0</v>
      </c>
      <c r="C9" s="13" t="n"/>
      <c r="D9" s="12" t="n">
        <v>1</v>
      </c>
    </row>
    <row r="10">
      <c r="A10" s="12" t="inlineStr">
        <is>
          <t>DOC</t>
        </is>
      </c>
      <c r="B10" s="12" t="b">
        <v>0</v>
      </c>
      <c r="C10" s="13" t="n"/>
      <c r="D10" s="12" t="n">
        <v>1</v>
      </c>
    </row>
    <row r="11">
      <c r="A11" s="12" t="inlineStr">
        <is>
          <t>SEMUL</t>
        </is>
      </c>
      <c r="B11" s="12" t="b">
        <v>0</v>
      </c>
      <c r="C11" s="13" t="n"/>
      <c r="D11" s="12" t="n">
        <v>1</v>
      </c>
    </row>
    <row r="12">
      <c r="A12" s="12" t="inlineStr">
        <is>
          <t>IPROG</t>
        </is>
      </c>
      <c r="B12" s="12" t="b">
        <v>0</v>
      </c>
      <c r="C12" s="13" t="n"/>
      <c r="D12" s="12" t="n">
        <v>1</v>
      </c>
    </row>
    <row r="13">
      <c r="A13" s="12" t="inlineStr">
        <is>
          <t>JD</t>
        </is>
      </c>
      <c r="B13" s="12" t="b">
        <v>0</v>
      </c>
      <c r="C13" s="13" t="n"/>
      <c r="D13" s="12" t="n">
        <v>1</v>
      </c>
    </row>
    <row r="14">
      <c r="A14" s="12" t="inlineStr">
        <is>
          <t>SSMD</t>
        </is>
      </c>
      <c r="B14" s="12" t="b">
        <v>0</v>
      </c>
      <c r="C14" s="13" t="n"/>
      <c r="D14" s="12" t="n">
        <v>1</v>
      </c>
    </row>
    <row r="15">
      <c r="A15" s="12" t="inlineStr">
        <is>
          <t>EGM</t>
        </is>
      </c>
      <c r="B15" s="12" t="b">
        <v>0</v>
      </c>
      <c r="C15" s="13" t="n"/>
      <c r="D15" s="12" t="n">
        <v>1</v>
      </c>
    </row>
    <row r="16">
      <c r="A16" s="12" t="inlineStr">
        <is>
          <t>DISS</t>
        </is>
      </c>
      <c r="B16" s="12" t="b">
        <v>0</v>
      </c>
      <c r="C16" s="13" t="n"/>
      <c r="D16" s="12" t="n">
        <v>2</v>
      </c>
    </row>
  </sheetData>
  <dataValidations count="2">
    <dataValidation sqref="B2:B16" showDropDown="0" showInputMessage="0" showErrorMessage="0" allowBlank="1" type="list">
      <formula1>"TRUE,FALSE"</formula1>
    </dataValidation>
    <dataValidation sqref="C2:C16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4" t="inlineStr">
        <is>
          <t>UC \ UC</t>
        </is>
      </c>
      <c r="B1" s="14" t="inlineStr">
        <is>
          <t>SDI</t>
        </is>
      </c>
      <c r="C1" s="14" t="inlineStr">
        <is>
          <t>TCM</t>
        </is>
      </c>
      <c r="D1" s="14" t="inlineStr">
        <is>
          <t>ACM</t>
        </is>
      </c>
      <c r="E1" s="14" t="inlineStr">
        <is>
          <t>EDM</t>
        </is>
      </c>
      <c r="F1" s="14" t="inlineStr">
        <is>
          <t>FC</t>
        </is>
      </c>
      <c r="G1" s="14" t="inlineStr">
        <is>
          <t>TW</t>
        </is>
      </c>
      <c r="H1" s="14" t="inlineStr">
        <is>
          <t>LM</t>
        </is>
      </c>
      <c r="I1" s="14" t="inlineStr">
        <is>
          <t>CE-L</t>
        </is>
      </c>
      <c r="J1" s="14" t="inlineStr">
        <is>
          <t>DOC</t>
        </is>
      </c>
      <c r="K1" s="14" t="inlineStr">
        <is>
          <t>SEMUL</t>
        </is>
      </c>
      <c r="L1" s="14" t="inlineStr">
        <is>
          <t>IPROG</t>
        </is>
      </c>
      <c r="M1" s="14" t="inlineStr">
        <is>
          <t>JD</t>
        </is>
      </c>
      <c r="N1" s="14" t="inlineStr">
        <is>
          <t>SSMD</t>
        </is>
      </c>
      <c r="O1" s="14" t="inlineStr">
        <is>
          <t>EGM</t>
        </is>
      </c>
      <c r="P1" s="14" t="inlineStr">
        <is>
          <t>DISS</t>
        </is>
      </c>
    </row>
    <row r="2">
      <c r="A2" s="14" t="inlineStr">
        <is>
          <t>SDI</t>
        </is>
      </c>
      <c r="B2" s="15" t="n">
        <v>38</v>
      </c>
      <c r="C2" s="16" t="n">
        <v>33</v>
      </c>
      <c r="D2" s="16" t="n">
        <v>3</v>
      </c>
      <c r="E2" s="16" t="n">
        <v>2</v>
      </c>
      <c r="F2" s="16" t="n">
        <v>3</v>
      </c>
      <c r="G2" s="16" t="n">
        <v>5</v>
      </c>
      <c r="H2" s="16" t="n">
        <v>34</v>
      </c>
      <c r="I2" s="16" t="n">
        <v>0</v>
      </c>
      <c r="J2" s="16" t="n">
        <v>0</v>
      </c>
      <c r="K2" s="16" t="n">
        <v>32</v>
      </c>
      <c r="L2" s="16" t="n">
        <v>3</v>
      </c>
      <c r="M2" s="16" t="n">
        <v>13</v>
      </c>
      <c r="N2" s="16" t="n">
        <v>6</v>
      </c>
      <c r="O2" s="16" t="n">
        <v>3</v>
      </c>
      <c r="P2" s="16" t="n">
        <v>1</v>
      </c>
    </row>
    <row r="3">
      <c r="A3" s="14" t="inlineStr">
        <is>
          <t>TCM</t>
        </is>
      </c>
      <c r="B3" s="16" t="n">
        <v>33</v>
      </c>
      <c r="C3" s="15" t="n">
        <v>54</v>
      </c>
      <c r="D3" s="16" t="n">
        <v>18</v>
      </c>
      <c r="E3" s="16" t="n">
        <v>7</v>
      </c>
      <c r="F3" s="16" t="n">
        <v>9</v>
      </c>
      <c r="G3" s="16" t="n">
        <v>3</v>
      </c>
      <c r="H3" s="16" t="n">
        <v>50</v>
      </c>
      <c r="I3" s="16" t="n">
        <v>1</v>
      </c>
      <c r="J3" s="16" t="n">
        <v>5</v>
      </c>
      <c r="K3" s="16" t="n">
        <v>49</v>
      </c>
      <c r="L3" s="16" t="n">
        <v>4</v>
      </c>
      <c r="M3" s="16" t="n">
        <v>13</v>
      </c>
      <c r="N3" s="16" t="n">
        <v>6</v>
      </c>
      <c r="O3" s="16" t="n">
        <v>2</v>
      </c>
      <c r="P3" s="16" t="n">
        <v>1</v>
      </c>
    </row>
    <row r="4">
      <c r="A4" s="14" t="inlineStr">
        <is>
          <t>ACM</t>
        </is>
      </c>
      <c r="B4" s="16" t="n">
        <v>3</v>
      </c>
      <c r="C4" s="16" t="n">
        <v>18</v>
      </c>
      <c r="D4" s="15" t="n">
        <v>36</v>
      </c>
      <c r="E4" s="16" t="n">
        <v>6</v>
      </c>
      <c r="F4" s="16" t="n">
        <v>7</v>
      </c>
      <c r="G4" s="16" t="n">
        <v>2</v>
      </c>
      <c r="H4" s="16" t="n">
        <v>19</v>
      </c>
      <c r="I4" s="16" t="n">
        <v>0</v>
      </c>
      <c r="J4" s="16" t="n">
        <v>10</v>
      </c>
      <c r="K4" s="16" t="n">
        <v>17</v>
      </c>
      <c r="L4" s="16" t="n">
        <v>1</v>
      </c>
      <c r="M4" s="16" t="n">
        <v>1</v>
      </c>
      <c r="N4" s="16" t="n">
        <v>2</v>
      </c>
      <c r="O4" s="16" t="n">
        <v>1</v>
      </c>
      <c r="P4" s="16" t="n">
        <v>14</v>
      </c>
    </row>
    <row r="5">
      <c r="A5" s="14" t="inlineStr">
        <is>
          <t>EDM</t>
        </is>
      </c>
      <c r="B5" s="16" t="n">
        <v>2</v>
      </c>
      <c r="C5" s="16" t="n">
        <v>7</v>
      </c>
      <c r="D5" s="16" t="n">
        <v>6</v>
      </c>
      <c r="E5" s="15" t="n">
        <v>14</v>
      </c>
      <c r="F5" s="16" t="n">
        <v>0</v>
      </c>
      <c r="G5" s="16" t="n">
        <v>0</v>
      </c>
      <c r="H5" s="16" t="n">
        <v>9</v>
      </c>
      <c r="I5" s="16" t="n">
        <v>1</v>
      </c>
      <c r="J5" s="16" t="n">
        <v>3</v>
      </c>
      <c r="K5" s="16" t="n">
        <v>8</v>
      </c>
      <c r="L5" s="16" t="n">
        <v>2</v>
      </c>
      <c r="M5" s="16" t="n">
        <v>1</v>
      </c>
      <c r="N5" s="16" t="n">
        <v>0</v>
      </c>
      <c r="O5" s="16" t="n">
        <v>0</v>
      </c>
      <c r="P5" s="16" t="n">
        <v>4</v>
      </c>
    </row>
    <row r="6">
      <c r="A6" s="14" t="inlineStr">
        <is>
          <t>FC</t>
        </is>
      </c>
      <c r="B6" s="16" t="n">
        <v>3</v>
      </c>
      <c r="C6" s="16" t="n">
        <v>9</v>
      </c>
      <c r="D6" s="16" t="n">
        <v>7</v>
      </c>
      <c r="E6" s="16" t="n">
        <v>0</v>
      </c>
      <c r="F6" s="15" t="n">
        <v>21</v>
      </c>
      <c r="G6" s="16" t="n">
        <v>2</v>
      </c>
      <c r="H6" s="16" t="n">
        <v>8</v>
      </c>
      <c r="I6" s="16" t="n">
        <v>2</v>
      </c>
      <c r="J6" s="16" t="n">
        <v>3</v>
      </c>
      <c r="K6" s="16" t="n">
        <v>8</v>
      </c>
      <c r="L6" s="16" t="n">
        <v>0</v>
      </c>
      <c r="M6" s="16" t="n">
        <v>1</v>
      </c>
      <c r="N6" s="16" t="n">
        <v>0</v>
      </c>
      <c r="O6" s="16" t="n">
        <v>0</v>
      </c>
      <c r="P6" s="16" t="n">
        <v>12</v>
      </c>
    </row>
    <row r="7">
      <c r="A7" s="14" t="inlineStr">
        <is>
          <t>TW</t>
        </is>
      </c>
      <c r="B7" s="16" t="n">
        <v>5</v>
      </c>
      <c r="C7" s="16" t="n">
        <v>3</v>
      </c>
      <c r="D7" s="16" t="n">
        <v>2</v>
      </c>
      <c r="E7" s="16" t="n">
        <v>0</v>
      </c>
      <c r="F7" s="16" t="n">
        <v>2</v>
      </c>
      <c r="G7" s="15" t="n">
        <v>15</v>
      </c>
      <c r="H7" s="16" t="n">
        <v>3</v>
      </c>
      <c r="I7" s="16" t="n">
        <v>0</v>
      </c>
      <c r="J7" s="16" t="n">
        <v>0</v>
      </c>
      <c r="K7" s="16" t="n">
        <v>3</v>
      </c>
      <c r="L7" s="16" t="n">
        <v>1</v>
      </c>
      <c r="M7" s="16" t="n">
        <v>1</v>
      </c>
      <c r="N7" s="16" t="n">
        <v>0</v>
      </c>
      <c r="O7" s="16" t="n">
        <v>2</v>
      </c>
      <c r="P7" s="16" t="n">
        <v>6</v>
      </c>
    </row>
    <row r="8">
      <c r="A8" s="14" t="inlineStr">
        <is>
          <t>LM</t>
        </is>
      </c>
      <c r="B8" s="16" t="n">
        <v>34</v>
      </c>
      <c r="C8" s="16" t="n">
        <v>50</v>
      </c>
      <c r="D8" s="16" t="n">
        <v>19</v>
      </c>
      <c r="E8" s="16" t="n">
        <v>9</v>
      </c>
      <c r="F8" s="16" t="n">
        <v>8</v>
      </c>
      <c r="G8" s="16" t="n">
        <v>3</v>
      </c>
      <c r="H8" s="15" t="n">
        <v>54</v>
      </c>
      <c r="I8" s="16" t="n">
        <v>1</v>
      </c>
      <c r="J8" s="16" t="n">
        <v>5</v>
      </c>
      <c r="K8" s="16" t="n">
        <v>49</v>
      </c>
      <c r="L8" s="16" t="n">
        <v>3</v>
      </c>
      <c r="M8" s="16" t="n">
        <v>14</v>
      </c>
      <c r="N8" s="16" t="n">
        <v>6</v>
      </c>
      <c r="O8" s="16" t="n">
        <v>2</v>
      </c>
      <c r="P8" s="16" t="n">
        <v>0</v>
      </c>
    </row>
    <row r="9">
      <c r="A9" s="14" t="inlineStr">
        <is>
          <t>CE-L</t>
        </is>
      </c>
      <c r="B9" s="16" t="n">
        <v>0</v>
      </c>
      <c r="C9" s="16" t="n">
        <v>1</v>
      </c>
      <c r="D9" s="16" t="n">
        <v>0</v>
      </c>
      <c r="E9" s="16" t="n">
        <v>1</v>
      </c>
      <c r="F9" s="16" t="n">
        <v>2</v>
      </c>
      <c r="G9" s="16" t="n">
        <v>0</v>
      </c>
      <c r="H9" s="16" t="n">
        <v>1</v>
      </c>
      <c r="I9" s="15" t="n">
        <v>8</v>
      </c>
      <c r="J9" s="16" t="n">
        <v>2</v>
      </c>
      <c r="K9" s="16" t="n">
        <v>1</v>
      </c>
      <c r="L9" s="16" t="n">
        <v>0</v>
      </c>
      <c r="M9" s="16" t="n">
        <v>0</v>
      </c>
      <c r="N9" s="16" t="n">
        <v>2</v>
      </c>
      <c r="O9" s="16" t="n">
        <v>0</v>
      </c>
      <c r="P9" s="16" t="n">
        <v>6</v>
      </c>
    </row>
    <row r="10">
      <c r="A10" s="14" t="inlineStr">
        <is>
          <t>DOC</t>
        </is>
      </c>
      <c r="B10" s="16" t="n">
        <v>0</v>
      </c>
      <c r="C10" s="16" t="n">
        <v>5</v>
      </c>
      <c r="D10" s="16" t="n">
        <v>10</v>
      </c>
      <c r="E10" s="16" t="n">
        <v>3</v>
      </c>
      <c r="F10" s="16" t="n">
        <v>3</v>
      </c>
      <c r="G10" s="16" t="n">
        <v>0</v>
      </c>
      <c r="H10" s="16" t="n">
        <v>5</v>
      </c>
      <c r="I10" s="16" t="n">
        <v>2</v>
      </c>
      <c r="J10" s="15" t="n">
        <v>22</v>
      </c>
      <c r="K10" s="16" t="n">
        <v>5</v>
      </c>
      <c r="L10" s="16" t="n">
        <v>1</v>
      </c>
      <c r="M10" s="16" t="n">
        <v>1</v>
      </c>
      <c r="N10" s="16" t="n">
        <v>0</v>
      </c>
      <c r="O10" s="16" t="n">
        <v>1</v>
      </c>
      <c r="P10" s="16" t="n">
        <v>14</v>
      </c>
    </row>
    <row r="11">
      <c r="A11" s="14" t="inlineStr">
        <is>
          <t>SEMUL</t>
        </is>
      </c>
      <c r="B11" s="16" t="n">
        <v>32</v>
      </c>
      <c r="C11" s="16" t="n">
        <v>49</v>
      </c>
      <c r="D11" s="16" t="n">
        <v>17</v>
      </c>
      <c r="E11" s="16" t="n">
        <v>8</v>
      </c>
      <c r="F11" s="16" t="n">
        <v>8</v>
      </c>
      <c r="G11" s="16" t="n">
        <v>3</v>
      </c>
      <c r="H11" s="16" t="n">
        <v>49</v>
      </c>
      <c r="I11" s="16" t="n">
        <v>1</v>
      </c>
      <c r="J11" s="16" t="n">
        <v>5</v>
      </c>
      <c r="K11" s="15" t="n">
        <v>52</v>
      </c>
      <c r="L11" s="16" t="n">
        <v>3</v>
      </c>
      <c r="M11" s="16" t="n">
        <v>14</v>
      </c>
      <c r="N11" s="16" t="n">
        <v>5</v>
      </c>
      <c r="O11" s="16" t="n">
        <v>2</v>
      </c>
      <c r="P11" s="16" t="n">
        <v>0</v>
      </c>
    </row>
    <row r="12">
      <c r="A12" s="14" t="inlineStr">
        <is>
          <t>IPROG</t>
        </is>
      </c>
      <c r="B12" s="16" t="n">
        <v>3</v>
      </c>
      <c r="C12" s="16" t="n">
        <v>4</v>
      </c>
      <c r="D12" s="16" t="n">
        <v>1</v>
      </c>
      <c r="E12" s="16" t="n">
        <v>2</v>
      </c>
      <c r="F12" s="16" t="n">
        <v>0</v>
      </c>
      <c r="G12" s="16" t="n">
        <v>1</v>
      </c>
      <c r="H12" s="16" t="n">
        <v>3</v>
      </c>
      <c r="I12" s="16" t="n">
        <v>0</v>
      </c>
      <c r="J12" s="16" t="n">
        <v>1</v>
      </c>
      <c r="K12" s="16" t="n">
        <v>3</v>
      </c>
      <c r="L12" s="15" t="n">
        <v>7</v>
      </c>
      <c r="M12" s="16" t="n">
        <v>0</v>
      </c>
      <c r="N12" s="16" t="n">
        <v>1</v>
      </c>
      <c r="O12" s="16" t="n">
        <v>0</v>
      </c>
      <c r="P12" s="16" t="n">
        <v>4</v>
      </c>
    </row>
    <row r="13">
      <c r="A13" s="14" t="inlineStr">
        <is>
          <t>JD</t>
        </is>
      </c>
      <c r="B13" s="16" t="n">
        <v>13</v>
      </c>
      <c r="C13" s="16" t="n">
        <v>13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14</v>
      </c>
      <c r="I13" s="16" t="n">
        <v>0</v>
      </c>
      <c r="J13" s="16" t="n">
        <v>1</v>
      </c>
      <c r="K13" s="16" t="n">
        <v>14</v>
      </c>
      <c r="L13" s="16" t="n">
        <v>0</v>
      </c>
      <c r="M13" s="15" t="n">
        <v>24</v>
      </c>
      <c r="N13" s="16" t="n">
        <v>0</v>
      </c>
      <c r="O13" s="16" t="n">
        <v>0</v>
      </c>
      <c r="P13" s="16" t="n">
        <v>4</v>
      </c>
    </row>
    <row r="14">
      <c r="A14" s="14" t="inlineStr">
        <is>
          <t>SSMD</t>
        </is>
      </c>
      <c r="B14" s="16" t="n">
        <v>6</v>
      </c>
      <c r="C14" s="16" t="n">
        <v>6</v>
      </c>
      <c r="D14" s="16" t="n">
        <v>2</v>
      </c>
      <c r="E14" s="16" t="n">
        <v>0</v>
      </c>
      <c r="F14" s="16" t="n">
        <v>0</v>
      </c>
      <c r="G14" s="16" t="n">
        <v>0</v>
      </c>
      <c r="H14" s="16" t="n">
        <v>6</v>
      </c>
      <c r="I14" s="16" t="n">
        <v>2</v>
      </c>
      <c r="J14" s="16" t="n">
        <v>0</v>
      </c>
      <c r="K14" s="16" t="n">
        <v>5</v>
      </c>
      <c r="L14" s="16" t="n">
        <v>1</v>
      </c>
      <c r="M14" s="16" t="n">
        <v>0</v>
      </c>
      <c r="N14" s="15" t="n">
        <v>16</v>
      </c>
      <c r="O14" s="16" t="n">
        <v>1</v>
      </c>
      <c r="P14" s="16" t="n">
        <v>8</v>
      </c>
    </row>
    <row r="15">
      <c r="A15" s="14" t="inlineStr">
        <is>
          <t>EGM</t>
        </is>
      </c>
      <c r="B15" s="16" t="n">
        <v>3</v>
      </c>
      <c r="C15" s="16" t="n">
        <v>2</v>
      </c>
      <c r="D15" s="16" t="n">
        <v>1</v>
      </c>
      <c r="E15" s="16" t="n">
        <v>0</v>
      </c>
      <c r="F15" s="16" t="n">
        <v>0</v>
      </c>
      <c r="G15" s="16" t="n">
        <v>2</v>
      </c>
      <c r="H15" s="16" t="n">
        <v>2</v>
      </c>
      <c r="I15" s="16" t="n">
        <v>0</v>
      </c>
      <c r="J15" s="16" t="n">
        <v>1</v>
      </c>
      <c r="K15" s="16" t="n">
        <v>2</v>
      </c>
      <c r="L15" s="16" t="n">
        <v>0</v>
      </c>
      <c r="M15" s="16" t="n">
        <v>0</v>
      </c>
      <c r="N15" s="16" t="n">
        <v>1</v>
      </c>
      <c r="O15" s="15" t="n">
        <v>14</v>
      </c>
      <c r="P15" s="16" t="n">
        <v>2</v>
      </c>
    </row>
    <row r="16">
      <c r="A16" s="14" t="inlineStr">
        <is>
          <t>DISS</t>
        </is>
      </c>
      <c r="B16" s="16" t="n">
        <v>1</v>
      </c>
      <c r="C16" s="16" t="n">
        <v>1</v>
      </c>
      <c r="D16" s="16" t="n">
        <v>14</v>
      </c>
      <c r="E16" s="16" t="n">
        <v>4</v>
      </c>
      <c r="F16" s="16" t="n">
        <v>12</v>
      </c>
      <c r="G16" s="16" t="n">
        <v>6</v>
      </c>
      <c r="H16" s="16" t="n">
        <v>0</v>
      </c>
      <c r="I16" s="16" t="n">
        <v>6</v>
      </c>
      <c r="J16" s="16" t="n">
        <v>14</v>
      </c>
      <c r="K16" s="16" t="n">
        <v>0</v>
      </c>
      <c r="L16" s="16" t="n">
        <v>4</v>
      </c>
      <c r="M16" s="16" t="n">
        <v>4</v>
      </c>
      <c r="N16" s="16" t="n">
        <v>8</v>
      </c>
      <c r="O16" s="16" t="n">
        <v>2</v>
      </c>
      <c r="P16" s="15" t="n">
        <v>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</cols>
  <sheetData>
    <row r="1">
      <c r="A1" s="12" t="n"/>
      <c r="B1" s="12" t="inlineStr">
        <is>
          <t>Ultima avaliação por exame final</t>
        </is>
      </c>
      <c r="C1" s="12" t="inlineStr">
        <is>
          <t>Data da Ultima avaliação</t>
        </is>
      </c>
      <c r="D1" s="12" t="inlineStr">
        <is>
          <t>ANO</t>
        </is>
      </c>
    </row>
    <row r="2">
      <c r="A2" s="12" t="inlineStr">
        <is>
          <t>DSMD</t>
        </is>
      </c>
      <c r="B2" s="12" t="b">
        <v>0</v>
      </c>
      <c r="C2" s="13" t="n"/>
      <c r="D2" s="12" t="n">
        <v>1</v>
      </c>
    </row>
    <row r="3">
      <c r="A3" s="12" t="inlineStr">
        <is>
          <t>HTM</t>
        </is>
      </c>
      <c r="B3" s="12" t="b">
        <v>0</v>
      </c>
      <c r="C3" s="13" t="n"/>
      <c r="D3" s="12" t="n">
        <v>1</v>
      </c>
    </row>
    <row r="4">
      <c r="A4" s="12" t="inlineStr">
        <is>
          <t>MPA</t>
        </is>
      </c>
      <c r="B4" s="12" t="b">
        <v>0</v>
      </c>
      <c r="C4" s="13" t="n"/>
      <c r="D4" s="12" t="n">
        <v>1</v>
      </c>
    </row>
    <row r="5">
      <c r="A5" s="12" t="inlineStr">
        <is>
          <t>SE</t>
        </is>
      </c>
      <c r="B5" s="12" t="b">
        <v>0</v>
      </c>
      <c r="C5" s="13" t="n"/>
      <c r="D5" s="12" t="n">
        <v>1</v>
      </c>
    </row>
    <row r="6">
      <c r="A6" s="12" t="inlineStr">
        <is>
          <t>ANS</t>
        </is>
      </c>
      <c r="B6" s="12" t="b">
        <v>0</v>
      </c>
      <c r="C6" s="13" t="n"/>
      <c r="D6" s="12" t="n">
        <v>1</v>
      </c>
    </row>
    <row r="7">
      <c r="A7" s="12" t="inlineStr">
        <is>
          <t>SGA3D</t>
        </is>
      </c>
      <c r="B7" s="12" t="b">
        <v>0</v>
      </c>
      <c r="C7" s="13" t="n"/>
      <c r="D7" s="12" t="n">
        <v>1</v>
      </c>
    </row>
    <row r="8">
      <c r="A8" s="12" t="inlineStr">
        <is>
          <t>IM</t>
        </is>
      </c>
      <c r="B8" s="12" t="b">
        <v>0</v>
      </c>
      <c r="C8" s="13" t="n"/>
      <c r="D8" s="12" t="n">
        <v>1</v>
      </c>
    </row>
    <row r="9">
      <c r="A9" s="12" t="inlineStr">
        <is>
          <t>MINV</t>
        </is>
      </c>
      <c r="B9" s="12" t="b">
        <v>0</v>
      </c>
      <c r="C9" s="13" t="n"/>
      <c r="D9" s="12" t="n">
        <v>1</v>
      </c>
    </row>
    <row r="10">
      <c r="A10" s="12" t="inlineStr">
        <is>
          <t>LGP</t>
        </is>
      </c>
      <c r="B10" s="12" t="b">
        <v>0</v>
      </c>
      <c r="C10" s="13" t="n"/>
      <c r="D10" s="12" t="n">
        <v>1</v>
      </c>
    </row>
    <row r="11">
      <c r="A11" s="12" t="inlineStr">
        <is>
          <t>MI</t>
        </is>
      </c>
      <c r="B11" s="12" t="b">
        <v>0</v>
      </c>
      <c r="C11" s="13" t="n"/>
      <c r="D11" s="12" t="n">
        <v>1</v>
      </c>
    </row>
    <row r="12">
      <c r="A12" s="12" t="inlineStr">
        <is>
          <t>NI</t>
        </is>
      </c>
      <c r="B12" s="12" t="b">
        <v>0</v>
      </c>
      <c r="C12" s="13" t="n"/>
      <c r="D12" s="12" t="n">
        <v>1</v>
      </c>
    </row>
  </sheetData>
  <dataValidations count="2">
    <dataValidation sqref="B2:B12" showDropDown="0" showInputMessage="0" showErrorMessage="0" allowBlank="1" type="list">
      <formula1>"TRUE,FALSE"</formula1>
    </dataValidation>
    <dataValidation sqref="C2:C12" showDropDown="0" showInputMessage="0" showErrorMessage="1" allowBlank="1" prompt="Data inválida - Introduza uma data válida (ex: 01/01/2026)" type="date" operator="greaterThanOrEqual">
      <formula1>DATE(2000,1,1)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4" t="inlineStr">
        <is>
          <t>UC \ UC</t>
        </is>
      </c>
      <c r="B1" s="14" t="inlineStr">
        <is>
          <t>DSMD</t>
        </is>
      </c>
      <c r="C1" s="14" t="inlineStr">
        <is>
          <t>HTM</t>
        </is>
      </c>
      <c r="D1" s="14" t="inlineStr">
        <is>
          <t>MPA</t>
        </is>
      </c>
      <c r="E1" s="14" t="inlineStr">
        <is>
          <t>SE</t>
        </is>
      </c>
      <c r="F1" s="14" t="inlineStr">
        <is>
          <t>ANS</t>
        </is>
      </c>
      <c r="G1" s="14" t="inlineStr">
        <is>
          <t>SGA3D</t>
        </is>
      </c>
      <c r="H1" s="14" t="inlineStr">
        <is>
          <t>IM</t>
        </is>
      </c>
      <c r="I1" s="14" t="inlineStr">
        <is>
          <t>MINV</t>
        </is>
      </c>
      <c r="J1" s="14" t="inlineStr">
        <is>
          <t>LGP</t>
        </is>
      </c>
      <c r="K1" s="14" t="inlineStr">
        <is>
          <t>MI</t>
        </is>
      </c>
      <c r="L1" s="14" t="inlineStr">
        <is>
          <t>NI</t>
        </is>
      </c>
    </row>
    <row r="2">
      <c r="A2" s="14" t="inlineStr">
        <is>
          <t>DSMD</t>
        </is>
      </c>
      <c r="B2" s="15" t="n">
        <v>20</v>
      </c>
      <c r="C2" s="16" t="n">
        <v>15</v>
      </c>
      <c r="D2" s="16" t="n">
        <v>3</v>
      </c>
      <c r="E2" s="16" t="n">
        <v>1</v>
      </c>
      <c r="F2" s="16" t="n">
        <v>0</v>
      </c>
      <c r="G2" s="16" t="n">
        <v>4</v>
      </c>
      <c r="H2" s="16" t="n">
        <v>3</v>
      </c>
      <c r="I2" s="16" t="n">
        <v>17</v>
      </c>
      <c r="J2" s="16" t="n">
        <v>16</v>
      </c>
      <c r="K2" s="16" t="n">
        <v>2</v>
      </c>
      <c r="L2" s="16" t="n">
        <v>5</v>
      </c>
    </row>
    <row r="3">
      <c r="A3" s="14" t="inlineStr">
        <is>
          <t>HTM</t>
        </is>
      </c>
      <c r="B3" s="16" t="n">
        <v>15</v>
      </c>
      <c r="C3" s="15" t="n">
        <v>51</v>
      </c>
      <c r="D3" s="16" t="n">
        <v>9</v>
      </c>
      <c r="E3" s="16" t="n">
        <v>13</v>
      </c>
      <c r="F3" s="16" t="n">
        <v>3</v>
      </c>
      <c r="G3" s="16" t="n">
        <v>12</v>
      </c>
      <c r="H3" s="16" t="n">
        <v>19</v>
      </c>
      <c r="I3" s="16" t="n">
        <v>47</v>
      </c>
      <c r="J3" s="16" t="n">
        <v>47</v>
      </c>
      <c r="K3" s="16" t="n">
        <v>2</v>
      </c>
      <c r="L3" s="16" t="n">
        <v>18</v>
      </c>
    </row>
    <row r="4">
      <c r="A4" s="14" t="inlineStr">
        <is>
          <t>MPA</t>
        </is>
      </c>
      <c r="B4" s="16" t="n">
        <v>3</v>
      </c>
      <c r="C4" s="16" t="n">
        <v>9</v>
      </c>
      <c r="D4" s="15" t="n">
        <v>12</v>
      </c>
      <c r="E4" s="16" t="n">
        <v>0</v>
      </c>
      <c r="F4" s="16" t="n">
        <v>0</v>
      </c>
      <c r="G4" s="16" t="n">
        <v>2</v>
      </c>
      <c r="H4" s="16" t="n">
        <v>2</v>
      </c>
      <c r="I4" s="16" t="n">
        <v>10</v>
      </c>
      <c r="J4" s="16" t="n">
        <v>9</v>
      </c>
      <c r="K4" s="16" t="n">
        <v>1</v>
      </c>
      <c r="L4" s="16" t="n">
        <v>2</v>
      </c>
    </row>
    <row r="5">
      <c r="A5" s="14" t="inlineStr">
        <is>
          <t>SE</t>
        </is>
      </c>
      <c r="B5" s="16" t="n">
        <v>1</v>
      </c>
      <c r="C5" s="16" t="n">
        <v>13</v>
      </c>
      <c r="D5" s="16" t="n">
        <v>0</v>
      </c>
      <c r="E5" s="15" t="n">
        <v>18</v>
      </c>
      <c r="F5" s="16" t="n">
        <v>1</v>
      </c>
      <c r="G5" s="16" t="n">
        <v>3</v>
      </c>
      <c r="H5" s="16" t="n">
        <v>3</v>
      </c>
      <c r="I5" s="16" t="n">
        <v>12</v>
      </c>
      <c r="J5" s="16" t="n">
        <v>13</v>
      </c>
      <c r="K5" s="16" t="n">
        <v>0</v>
      </c>
      <c r="L5" s="16" t="n">
        <v>5</v>
      </c>
    </row>
    <row r="6">
      <c r="A6" s="14" t="inlineStr">
        <is>
          <t>ANS</t>
        </is>
      </c>
      <c r="B6" s="16" t="n">
        <v>0</v>
      </c>
      <c r="C6" s="16" t="n">
        <v>3</v>
      </c>
      <c r="D6" s="16" t="n">
        <v>0</v>
      </c>
      <c r="E6" s="16" t="n">
        <v>1</v>
      </c>
      <c r="F6" s="15" t="n">
        <v>8</v>
      </c>
      <c r="G6" s="16" t="n">
        <v>0</v>
      </c>
      <c r="H6" s="16" t="n">
        <v>3</v>
      </c>
      <c r="I6" s="16" t="n">
        <v>3</v>
      </c>
      <c r="J6" s="16" t="n">
        <v>3</v>
      </c>
      <c r="K6" s="16" t="n">
        <v>0</v>
      </c>
      <c r="L6" s="16" t="n">
        <v>0</v>
      </c>
    </row>
    <row r="7">
      <c r="A7" s="14" t="inlineStr">
        <is>
          <t>SGA3D</t>
        </is>
      </c>
      <c r="B7" s="16" t="n">
        <v>4</v>
      </c>
      <c r="C7" s="16" t="n">
        <v>12</v>
      </c>
      <c r="D7" s="16" t="n">
        <v>2</v>
      </c>
      <c r="E7" s="16" t="n">
        <v>3</v>
      </c>
      <c r="F7" s="16" t="n">
        <v>0</v>
      </c>
      <c r="G7" s="15" t="n">
        <v>17</v>
      </c>
      <c r="H7" s="16" t="n">
        <v>1</v>
      </c>
      <c r="I7" s="16" t="n">
        <v>12</v>
      </c>
      <c r="J7" s="16" t="n">
        <v>12</v>
      </c>
      <c r="K7" s="16" t="n">
        <v>0</v>
      </c>
      <c r="L7" s="16" t="n">
        <v>0</v>
      </c>
    </row>
    <row r="8">
      <c r="A8" s="14" t="inlineStr">
        <is>
          <t>IM</t>
        </is>
      </c>
      <c r="B8" s="16" t="n">
        <v>3</v>
      </c>
      <c r="C8" s="16" t="n">
        <v>19</v>
      </c>
      <c r="D8" s="16" t="n">
        <v>2</v>
      </c>
      <c r="E8" s="16" t="n">
        <v>3</v>
      </c>
      <c r="F8" s="16" t="n">
        <v>3</v>
      </c>
      <c r="G8" s="16" t="n">
        <v>1</v>
      </c>
      <c r="H8" s="15" t="n">
        <v>21</v>
      </c>
      <c r="I8" s="16" t="n">
        <v>20</v>
      </c>
      <c r="J8" s="16" t="n">
        <v>19</v>
      </c>
      <c r="K8" s="16" t="n">
        <v>0</v>
      </c>
      <c r="L8" s="16" t="n">
        <v>7</v>
      </c>
    </row>
    <row r="9">
      <c r="A9" s="14" t="inlineStr">
        <is>
          <t>MINV</t>
        </is>
      </c>
      <c r="B9" s="16" t="n">
        <v>17</v>
      </c>
      <c r="C9" s="16" t="n">
        <v>47</v>
      </c>
      <c r="D9" s="16" t="n">
        <v>10</v>
      </c>
      <c r="E9" s="16" t="n">
        <v>12</v>
      </c>
      <c r="F9" s="16" t="n">
        <v>3</v>
      </c>
      <c r="G9" s="16" t="n">
        <v>12</v>
      </c>
      <c r="H9" s="16" t="n">
        <v>20</v>
      </c>
      <c r="I9" s="15" t="n">
        <v>51</v>
      </c>
      <c r="J9" s="16" t="n">
        <v>47</v>
      </c>
      <c r="K9" s="16" t="n">
        <v>2</v>
      </c>
      <c r="L9" s="16" t="n">
        <v>19</v>
      </c>
    </row>
    <row r="10">
      <c r="A10" s="14" t="inlineStr">
        <is>
          <t>LGP</t>
        </is>
      </c>
      <c r="B10" s="16" t="n">
        <v>16</v>
      </c>
      <c r="C10" s="16" t="n">
        <v>47</v>
      </c>
      <c r="D10" s="16" t="n">
        <v>9</v>
      </c>
      <c r="E10" s="16" t="n">
        <v>13</v>
      </c>
      <c r="F10" s="16" t="n">
        <v>3</v>
      </c>
      <c r="G10" s="16" t="n">
        <v>12</v>
      </c>
      <c r="H10" s="16" t="n">
        <v>19</v>
      </c>
      <c r="I10" s="16" t="n">
        <v>47</v>
      </c>
      <c r="J10" s="15" t="n">
        <v>53</v>
      </c>
      <c r="K10" s="16" t="n">
        <v>2</v>
      </c>
      <c r="L10" s="16" t="n">
        <v>18</v>
      </c>
    </row>
    <row r="11">
      <c r="A11" s="14" t="inlineStr">
        <is>
          <t>MI</t>
        </is>
      </c>
      <c r="B11" s="16" t="n">
        <v>2</v>
      </c>
      <c r="C11" s="16" t="n">
        <v>2</v>
      </c>
      <c r="D11" s="16" t="n">
        <v>1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2</v>
      </c>
      <c r="J11" s="16" t="n">
        <v>2</v>
      </c>
      <c r="K11" s="15" t="n">
        <v>6</v>
      </c>
      <c r="L11" s="16" t="n">
        <v>0</v>
      </c>
    </row>
    <row r="12">
      <c r="A12" s="14" t="inlineStr">
        <is>
          <t>NI</t>
        </is>
      </c>
      <c r="B12" s="16" t="n">
        <v>5</v>
      </c>
      <c r="C12" s="16" t="n">
        <v>18</v>
      </c>
      <c r="D12" s="16" t="n">
        <v>2</v>
      </c>
      <c r="E12" s="16" t="n">
        <v>5</v>
      </c>
      <c r="F12" s="16" t="n">
        <v>0</v>
      </c>
      <c r="G12" s="16" t="n">
        <v>0</v>
      </c>
      <c r="H12" s="16" t="n">
        <v>7</v>
      </c>
      <c r="I12" s="16" t="n">
        <v>19</v>
      </c>
      <c r="J12" s="16" t="n">
        <v>18</v>
      </c>
      <c r="K12" s="16" t="n">
        <v>0</v>
      </c>
      <c r="L12" s="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2026-05-29T01:38:08+00:00Z</dcterms:created>
  <dcterms:modified xmlns:dcterms="http://purl.org/dc/terms/" xmlns:xsi="http://www.w3.org/2001/XMLSchema-instance" xsi:type="dcterms:W3CDTF">2026-05-29T01:38:12+00:00Z</dcterms:modified>
</cp:coreProperties>
</file>